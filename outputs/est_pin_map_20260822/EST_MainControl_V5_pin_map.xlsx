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c5775da6c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前引脚表" sheetId="1" r:id="R812160fc42a24514"/>
    <x:sheet xmlns:r="http://schemas.openxmlformats.org/officeDocument/2006/relationships" name="说明" sheetId="2" r:id="R4767620cb7e54c77"/>
    <x:sheet xmlns:r="http://schemas.openxmlformats.org/officeDocument/2006/relationships" name="重要改板对照" sheetId="3" r:id="Rbaf4f38fd884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033"/>
      <x:name val="Microsoft YaHei"/>
    </x:font>
    <x:font>
      <x:b/>
      <x:sz val="10"/>
      <x:color rgb="FFFFFFFF"/>
      <x:name val="Microsoft YaHei"/>
    </x:font>
    <x:font>
      <x:b/>
      <x:sz val="18"/>
      <x:color rgb="FFFFFFFF"/>
      <x:name val="Microsoft YaHei"/>
    </x:font>
    <x:font>
      <x:sz val="10"/>
      <x:color rgb="FF245A8D"/>
      <x:name val="Microsoft YaHei"/>
    </x:font>
    <x:font>
      <x:b/>
      <x:sz val="10"/>
      <x:color rgb="FF172033"/>
      <x:name val="Microsoft YaHei"/>
    </x:font>
    <x:font>
      <x:b/>
      <x:sz val="20"/>
      <x:color rgb="FF176B3A"/>
      <x:name val="Microsoft YaHei"/>
    </x:font>
    <x:font>
      <x:b/>
      <x:sz val="11"/>
      <x:color rgb="FF3B2B0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B"/>
      </x:patternFill>
    </x:fill>
    <x:fill>
      <x:patternFill patternType="solid">
        <x:fgColor rgb="FFD9E2EC"/>
      </x:patternFill>
    </x:fill>
    <x:fill>
      <x:patternFill patternType="solid">
        <x:fgColor rgb="FFF7FAFC"/>
      </x:patternFill>
    </x:fill>
    <x:fill>
      <x:patternFill patternType="solid">
        <x:fgColor rgb="FFF4B942"/>
      </x:patternFill>
    </x:fill>
  </x:fills>
  <x:borders count="18">
    <x:border/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left style="thin">
        <x:color rgb="FFB8C7D9"/>
      </x:left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B8C7D9"/>
      </x:left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11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/>
    </x:xf>
    <x:xf numFmtId="0" fontId="6" fillId="5" borderId="13" xfId="0" applyNumberFormat="1" applyFont="1" applyFill="1" applyBorder="1" applyAlignment="1">
      <x:alignment horizontal="center"/>
    </x:xf>
    <x:xf numFmtId="0" fontId="6" fillId="5" borderId="14" xfId="0" applyNumberFormat="1" applyFont="1" applyFill="1" applyBorder="1" applyAlignment="1">
      <x:alignment horizontal="center"/>
    </x:xf>
    <x:xf numFmtId="0" fontId="6" fillId="5" borderId="15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horizontal="center" vertical="center"/>
    </x:xf>
    <x:xf numFmtId="0" fontId="6" fillId="5" borderId="12" xfId="0" applyNumberFormat="1" applyFont="1" applyFill="1" applyBorder="1" applyAlignment="1">
      <x:alignment horizontal="center" vertical="center"/>
    </x:xf>
    <x:xf numFmtId="0" fontId="6" fillId="5" borderId="13" xfId="0" applyNumberFormat="1" applyFont="1" applyFill="1" applyBorder="1" applyAlignment="1">
      <x:alignment horizontal="center" vertical="center"/>
    </x:xf>
    <x:xf numFmtId="0" fontId="6" fillId="5" borderId="14" xfId="0" applyNumberFormat="1" applyFont="1" applyFill="1" applyBorder="1" applyAlignment="1">
      <x:alignment horizontal="center" vertical="center"/>
    </x:xf>
    <x:xf numFmtId="0" fontId="6" fillId="5" borderId="1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76B3A"/>
      </x:font>
      <x:fill>
        <x:patternFill patternType="solid">
          <x:bgColor rgb="FFDDF4E4"/>
        </x:patternFill>
      </x:fill>
    </x:dxf>
    <x:dxf>
      <x:font>
        <x:color rgb="FF245A8D"/>
      </x:font>
      <x:fill>
        <x:patternFill patternType="solid">
          <x:bgColor rgb="FFE8F1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7c939aa3f4657" /><Relationship Type="http://schemas.openxmlformats.org/officeDocument/2006/relationships/theme" Target="/xl/theme/theme1.xml" Id="Rd69dcd10dd624e6d" /><Relationship Type="http://schemas.openxmlformats.org/officeDocument/2006/relationships/sharedStrings" Target="/xl/sharedStrings.xml" Id="R7f54e6261273490b" /><Relationship Type="http://schemas.openxmlformats.org/officeDocument/2006/relationships/worksheet" Target="/xl/worksheets/sheet1.xml" Id="R812160fc42a24514" /><Relationship Type="http://schemas.openxmlformats.org/officeDocument/2006/relationships/worksheet" Target="/xl/worksheets/sheet2.xml" Id="R4767620cb7e54c77" /><Relationship Type="http://schemas.openxmlformats.org/officeDocument/2006/relationships/worksheet" Target="/xl/worksheets/sheet3.xml" Id="Rbaf4f38fd88446f9" /></Relationships>
</file>

<file path=xl/tables/table1.xml><?xml version="1.0" encoding="utf-8"?>
<x:table xmlns:x="http://schemas.openxmlformats.org/spreadsheetml/2006/main" id="1" name="CurrentPinMapTable" displayName="CurrentPinMapTable" ref="A1:G145" headerRowCount="1" totalsRowCount="0" totalsRowShown="0">
  <x:autoFilter ref="A1:G145"/>
  <x:tableColumns count="7">
    <x:tableColumn id="1" name="package_pin"/>
    <x:tableColumn id="2" name="mcu_pin"/>
    <x:tableColumn id="3" name="current_net"/>
    <x:tableColumn id="4" name="subsystem"/>
    <x:tableColumn id="5" name="kind"/>
    <x:tableColumn id="6" name="verification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ardRevisionChangesTable" displayName="BoardRevisionChangesTable" ref="A1:F13" headerRowCount="1" totalsRowCount="0" totalsRowShown="0">
  <x:autoFilter ref="A1:F13"/>
  <x:tableColumns count="6">
    <x:tableColumn id="1" name="信号"/>
    <x:tableColumn id="2" name="旧资料引脚"/>
    <x:tableColumn id="3" name="V5.0 当前引脚"/>
    <x:tableColumn id="4" name="所属模块"/>
    <x:tableColumn id="5" name="验证状态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1056cf4d6348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5a65324d7c4d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0" hidden="0" customWidth="1"/>
    <x:col min="4" max="4" width="22" hidden="0" customWidth="1"/>
    <x:col min="5" max="5" width="16" hidden="0" customWidth="1"/>
    <x:col min="6" max="6" width="18" hidden="0" customWidth="1"/>
    <x:col min="7" max="7" width="54" hidden="0" customWidth="1"/>
  </x:cols>
  <x:sheetData>
    <x:row r="1" ht="26" customHeight="1">
      <x:c r="A1" s="12" t="str">
        <x:v>package_pin</x:v>
      </x:c>
      <x:c r="B1" s="12" t="str">
        <x:v>mcu_pin</x:v>
      </x:c>
      <x:c r="C1" s="12" t="str">
        <x:v>current_net</x:v>
      </x:c>
      <x:c r="D1" s="12" t="str">
        <x:v>subsystem</x:v>
      </x:c>
      <x:c r="E1" s="12" t="str">
        <x:v>kind</x:v>
      </x:c>
      <x:c r="F1" s="12" t="str">
        <x:v>verification</x:v>
      </x:c>
      <x:c r="G1" s="12" t="str">
        <x:v>notes</x:v>
      </x:c>
    </x:row>
    <x:row r="2">
      <x:c r="A2" s="18" t="str">
        <x:v>1</x:v>
      </x:c>
      <x:c r="B2" s="18" t="str">
        <x:v>PE2</x:v>
      </x:c>
      <x:c r="C2" s="13" t="str">
        <x:v>PB_CON</x:v>
      </x:c>
      <x:c r="D2" s="13" t="str">
        <x:v>power-control</x:v>
      </x:c>
      <x:c r="E2" s="18" t="str">
        <x:v>gpio</x:v>
      </x:c>
      <x:c r="F2" s="18" t="str">
        <x:v>hardware-tested</x:v>
      </x:c>
      <x:c r="G2" s="22" t="str">
        <x:v>power hold high in Bootloader and minimal APP</x:v>
      </x:c>
    </x:row>
    <x:row r="3">
      <x:c r="A3" s="18" t="str">
        <x:v>2</x:v>
      </x:c>
      <x:c r="B3" s="18" t="str">
        <x:v>PE3</x:v>
      </x:c>
      <x:c r="C3" s="13" t="str">
        <x:v>KEY3</x:v>
      </x:c>
      <x:c r="D3" s="13" t="str">
        <x:v>keys</x:v>
      </x:c>
      <x:c r="E3" s="18" t="str">
        <x:v>gpio</x:v>
      </x:c>
      <x:c r="F3" s="18" t="str">
        <x:v>hardware-tested</x:v>
      </x:c>
      <x:c r="G3" s="22" t="str">
        <x:v>active low</x:v>
      </x:c>
    </x:row>
    <x:row r="4">
      <x:c r="A4" s="18" t="str">
        <x:v>3</x:v>
      </x:c>
      <x:c r="B4" s="18" t="str">
        <x:v>PE4</x:v>
      </x:c>
      <x:c r="C4" s="13" t="str">
        <x:v>KEY5</x:v>
      </x:c>
      <x:c r="D4" s="13" t="str">
        <x:v>keys</x:v>
      </x:c>
      <x:c r="E4" s="18" t="str">
        <x:v>gpio</x:v>
      </x:c>
      <x:c r="F4" s="18" t="str">
        <x:v>hardware-tested</x:v>
      </x:c>
      <x:c r="G4" s="22" t="str">
        <x:v>active low and physical power key</x:v>
      </x:c>
    </x:row>
    <x:row r="5">
      <x:c r="A5" s="18" t="str">
        <x:v>4</x:v>
      </x:c>
      <x:c r="B5" s="18" t="str">
        <x:v>PE5</x:v>
      </x:c>
      <x:c r="C5" s="13" t="str">
        <x:v>TACHOA0</x:v>
      </x:c>
      <x:c r="D5" s="13" t="str">
        <x:v>motor-feedback</x:v>
      </x:c>
      <x:c r="E5" s="18" t="str">
        <x:v>gpio</x:v>
      </x:c>
      <x:c r="F5" s="18" t="str">
        <x:v>schematic</x:v>
      </x:c>
      <x:c r="G5" s="22" t="str"/>
    </x:row>
    <x:row r="6">
      <x:c r="A6" s="18" t="str">
        <x:v>5</x:v>
      </x:c>
      <x:c r="B6" s="18" t="str">
        <x:v>PE6</x:v>
      </x:c>
      <x:c r="C6" s="13" t="str">
        <x:v>TACHOA1</x:v>
      </x:c>
      <x:c r="D6" s="13" t="str">
        <x:v>motor-feedback</x:v>
      </x:c>
      <x:c r="E6" s="18" t="str">
        <x:v>gpio</x:v>
      </x:c>
      <x:c r="F6" s="18" t="str">
        <x:v>schematic</x:v>
      </x:c>
      <x:c r="G6" s="22" t="str"/>
    </x:row>
    <x:row r="7">
      <x:c r="A7" s="18" t="str">
        <x:v>6</x:v>
      </x:c>
      <x:c r="B7" s="18" t="str">
        <x:v>VBAT</x:v>
      </x:c>
      <x:c r="C7" s="13" t="str">
        <x:v>VBAT</x:v>
      </x:c>
      <x:c r="D7" s="13" t="str">
        <x:v>power</x:v>
      </x:c>
      <x:c r="E7" s="18" t="str">
        <x:v>power</x:v>
      </x:c>
      <x:c r="F7" s="18" t="str">
        <x:v>schematic</x:v>
      </x:c>
      <x:c r="G7" s="22" t="str"/>
    </x:row>
    <x:row r="8">
      <x:c r="A8" s="18" t="str">
        <x:v>7</x:v>
      </x:c>
      <x:c r="B8" s="18" t="str">
        <x:v>PC13</x:v>
      </x:c>
      <x:c r="C8" s="13" t="str">
        <x:v>BLUE</x:v>
      </x:c>
      <x:c r="D8" s="13" t="str">
        <x:v>diagnostic-led</x:v>
      </x:c>
      <x:c r="E8" s="18" t="str">
        <x:v>gpio</x:v>
      </x:c>
      <x:c r="F8" s="18" t="str">
        <x:v>hardware-tested</x:v>
      </x:c>
      <x:c r="G8" s="22" t="str">
        <x:v>active level follows board circuit</x:v>
      </x:c>
    </x:row>
    <x:row r="9">
      <x:c r="A9" s="18" t="str">
        <x:v>8</x:v>
      </x:c>
      <x:c r="B9" s="18" t="str">
        <x:v>PC14</x:v>
      </x:c>
      <x:c r="C9" s="13" t="str">
        <x:v>KEY0</x:v>
      </x:c>
      <x:c r="D9" s="13" t="str">
        <x:v>keys</x:v>
      </x:c>
      <x:c r="E9" s="18" t="str">
        <x:v>gpio</x:v>
      </x:c>
      <x:c r="F9" s="18" t="str">
        <x:v>hardware-tested</x:v>
      </x:c>
      <x:c r="G9" s="22" t="str">
        <x:v>active low and Bootloader entry key</x:v>
      </x:c>
    </x:row>
    <x:row r="10">
      <x:c r="A10" s="18" t="str">
        <x:v>9</x:v>
      </x:c>
      <x:c r="B10" s="18" t="str">
        <x:v>PC15</x:v>
      </x:c>
      <x:c r="C10" s="13" t="str">
        <x:v>KEY1</x:v>
      </x:c>
      <x:c r="D10" s="13" t="str">
        <x:v>keys</x:v>
      </x:c>
      <x:c r="E10" s="18" t="str">
        <x:v>gpio</x:v>
      </x:c>
      <x:c r="F10" s="18" t="str">
        <x:v>hardware-tested</x:v>
      </x:c>
      <x:c r="G10" s="22" t="str">
        <x:v>active low</x:v>
      </x:c>
    </x:row>
    <x:row r="11">
      <x:c r="A11" s="18" t="str">
        <x:v>10</x:v>
      </x:c>
      <x:c r="B11" s="18" t="str">
        <x:v>PF0</x:v>
      </x:c>
      <x:c r="C11" s="13" t="str">
        <x:v>KEY2</x:v>
      </x:c>
      <x:c r="D11" s="13" t="str">
        <x:v>keys</x:v>
      </x:c>
      <x:c r="E11" s="18" t="str">
        <x:v>gpio</x:v>
      </x:c>
      <x:c r="F11" s="18" t="str">
        <x:v>hardware-tested</x:v>
      </x:c>
      <x:c r="G11" s="22" t="str">
        <x:v>active low</x:v>
      </x:c>
    </x:row>
    <x:row r="12">
      <x:c r="A12" s="18" t="str">
        <x:v>11</x:v>
      </x:c>
      <x:c r="B12" s="18" t="str">
        <x:v>PF1</x:v>
      </x:c>
      <x:c r="C12" s="13" t="str">
        <x:v>KEY4</x:v>
      </x:c>
      <x:c r="D12" s="13" t="str">
        <x:v>keys</x:v>
      </x:c>
      <x:c r="E12" s="18" t="str">
        <x:v>gpio</x:v>
      </x:c>
      <x:c r="F12" s="18" t="str">
        <x:v>hardware-tested</x:v>
      </x:c>
      <x:c r="G12" s="22" t="str">
        <x:v>active low</x:v>
      </x:c>
    </x:row>
    <x:row r="13">
      <x:c r="A13" s="18" t="str">
        <x:v>12</x:v>
      </x:c>
      <x:c r="B13" s="18" t="str">
        <x:v>PF2</x:v>
      </x:c>
      <x:c r="C13" s="13" t="str">
        <x:v>RED</x:v>
      </x:c>
      <x:c r="D13" s="13" t="str">
        <x:v>diagnostic-led</x:v>
      </x:c>
      <x:c r="E13" s="18" t="str">
        <x:v>gpio</x:v>
      </x:c>
      <x:c r="F13" s="18" t="str">
        <x:v>hardware-tested</x:v>
      </x:c>
      <x:c r="G13" s="22" t="str">
        <x:v>active level follows board circuit</x:v>
      </x:c>
    </x:row>
    <x:row r="14">
      <x:c r="A14" s="18" t="str">
        <x:v>13</x:v>
      </x:c>
      <x:c r="B14" s="18" t="str">
        <x:v>PF3</x:v>
      </x:c>
      <x:c r="C14" s="13" t="str">
        <x:v>PB_VOL</x:v>
      </x:c>
      <x:c r="D14" s="13" t="str">
        <x:v>power-monitor</x:v>
      </x:c>
      <x:c r="E14" s="18" t="str">
        <x:v>gpio</x:v>
      </x:c>
      <x:c r="F14" s="18" t="str">
        <x:v>schematic</x:v>
      </x:c>
      <x:c r="G14" s="22" t="str">
        <x:v>ADC input</x:v>
      </x:c>
    </x:row>
    <x:row r="15">
      <x:c r="A15" s="18" t="str">
        <x:v>14</x:v>
      </x:c>
      <x:c r="B15" s="18" t="str">
        <x:v>PF4</x:v>
      </x:c>
      <x:c r="C15" s="13" t="str">
        <x:v>ADC_A0</x:v>
      </x:c>
      <x:c r="D15" s="13" t="str">
        <x:v>input-port-a</x:v>
      </x:c>
      <x:c r="E15" s="18" t="str">
        <x:v>gpio</x:v>
      </x:c>
      <x:c r="F15" s="18" t="str">
        <x:v>schematic</x:v>
      </x:c>
      <x:c r="G15" s="22" t="str">
        <x:v>ADC input</x:v>
      </x:c>
    </x:row>
    <x:row r="16">
      <x:c r="A16" s="18" t="str">
        <x:v>15</x:v>
      </x:c>
      <x:c r="B16" s="18" t="str">
        <x:v>PF5</x:v>
      </x:c>
      <x:c r="C16" s="13" t="str">
        <x:v>ADC_A1</x:v>
      </x:c>
      <x:c r="D16" s="13" t="str">
        <x:v>input-port-a</x:v>
      </x:c>
      <x:c r="E16" s="18" t="str">
        <x:v>gpio</x:v>
      </x:c>
      <x:c r="F16" s="18" t="str">
        <x:v>schematic</x:v>
      </x:c>
      <x:c r="G16" s="22" t="str">
        <x:v>ADC input</x:v>
      </x:c>
    </x:row>
    <x:row r="17">
      <x:c r="A17" s="18" t="str">
        <x:v>16</x:v>
      </x:c>
      <x:c r="B17" s="18" t="str">
        <x:v>VSS</x:v>
      </x:c>
      <x:c r="C17" s="13" t="str">
        <x:v>GND</x:v>
      </x:c>
      <x:c r="D17" s="13" t="str">
        <x:v>power</x:v>
      </x:c>
      <x:c r="E17" s="18" t="str">
        <x:v>ground</x:v>
      </x:c>
      <x:c r="F17" s="18" t="str">
        <x:v>schematic</x:v>
      </x:c>
      <x:c r="G17" s="22" t="str"/>
    </x:row>
    <x:row r="18">
      <x:c r="A18" s="18" t="str">
        <x:v>17</x:v>
      </x:c>
      <x:c r="B18" s="18" t="str">
        <x:v>VDD</x:v>
      </x:c>
      <x:c r="C18" s="13" t="str">
        <x:v>V33</x:v>
      </x:c>
      <x:c r="D18" s="13" t="str">
        <x:v>power</x:v>
      </x:c>
      <x:c r="E18" s="18" t="str">
        <x:v>supply</x:v>
      </x:c>
      <x:c r="F18" s="18" t="str">
        <x:v>schematic</x:v>
      </x:c>
      <x:c r="G18" s="22" t="str"/>
    </x:row>
    <x:row r="19">
      <x:c r="A19" s="18" t="str">
        <x:v>18</x:v>
      </x:c>
      <x:c r="B19" s="18" t="str">
        <x:v>PF6</x:v>
      </x:c>
      <x:c r="C19" s="13" t="str">
        <x:v>I_ONA</x:v>
      </x:c>
      <x:c r="D19" s="13" t="str">
        <x:v>input-port-a</x:v>
      </x:c>
      <x:c r="E19" s="18" t="str">
        <x:v>gpio</x:v>
      </x:c>
      <x:c r="F19" s="18" t="str">
        <x:v>schematic</x:v>
      </x:c>
      <x:c r="G19" s="22" t="str"/>
    </x:row>
    <x:row r="20">
      <x:c r="A20" s="18" t="str">
        <x:v>19</x:v>
      </x:c>
      <x:c r="B20" s="18" t="str">
        <x:v>PF7</x:v>
      </x:c>
      <x:c r="C20" s="13" t="str">
        <x:v>DIGIA1</x:v>
      </x:c>
      <x:c r="D20" s="13" t="str">
        <x:v>input-port-a</x:v>
      </x:c>
      <x:c r="E20" s="18" t="str">
        <x:v>gpio</x:v>
      </x:c>
      <x:c r="F20" s="18" t="str">
        <x:v>schematic</x:v>
      </x:c>
      <x:c r="G20" s="22" t="str"/>
    </x:row>
    <x:row r="21">
      <x:c r="A21" s="18" t="str">
        <x:v>20</x:v>
      </x:c>
      <x:c r="B21" s="18" t="str">
        <x:v>PF8</x:v>
      </x:c>
      <x:c r="C21" s="13" t="str">
        <x:v>ADCMC</x:v>
      </x:c>
      <x:c r="D21" s="13" t="str">
        <x:v>motor-current-c</x:v>
      </x:c>
      <x:c r="E21" s="18" t="str">
        <x:v>gpio</x:v>
      </x:c>
      <x:c r="F21" s="18" t="str">
        <x:v>schematic</x:v>
      </x:c>
      <x:c r="G21" s="22" t="str">
        <x:v>ADC input</x:v>
      </x:c>
    </x:row>
    <x:row r="22">
      <x:c r="A22" s="18" t="str">
        <x:v>21</x:v>
      </x:c>
      <x:c r="B22" s="18" t="str">
        <x:v>PF9</x:v>
      </x:c>
      <x:c r="C22" s="13" t="str">
        <x:v>ADCMD</x:v>
      </x:c>
      <x:c r="D22" s="13" t="str">
        <x:v>motor-current-d</x:v>
      </x:c>
      <x:c r="E22" s="18" t="str">
        <x:v>gpio</x:v>
      </x:c>
      <x:c r="F22" s="18" t="str">
        <x:v>schematic</x:v>
      </x:c>
      <x:c r="G22" s="22" t="str">
        <x:v>ADC input</x:v>
      </x:c>
    </x:row>
    <x:row r="23">
      <x:c r="A23" s="18" t="str">
        <x:v>22</x:v>
      </x:c>
      <x:c r="B23" s="18" t="str">
        <x:v>PF10</x:v>
      </x:c>
      <x:c r="C23" s="13" t="str">
        <x:v>ADC_C1</x:v>
      </x:c>
      <x:c r="D23" s="13" t="str">
        <x:v>input-port-c</x:v>
      </x:c>
      <x:c r="E23" s="18" t="str">
        <x:v>gpio</x:v>
      </x:c>
      <x:c r="F23" s="18" t="str">
        <x:v>schematic</x:v>
      </x:c>
      <x:c r="G23" s="22" t="str">
        <x:v>ADC input</x:v>
      </x:c>
    </x:row>
    <x:row r="24">
      <x:c r="A24" s="18" t="str">
        <x:v>23</x:v>
      </x:c>
      <x:c r="B24" s="18" t="str">
        <x:v>PH0</x:v>
      </x:c>
      <x:c r="C24" s="13" t="str">
        <x:v>HSE_IN</x:v>
      </x:c>
      <x:c r="D24" s="13" t="str">
        <x:v>clock</x:v>
      </x:c>
      <x:c r="E24" s="18" t="str">
        <x:v>clock</x:v>
      </x:c>
      <x:c r="F24" s="18" t="str">
        <x:v>schematic</x:v>
      </x:c>
      <x:c r="G24" s="22" t="str">
        <x:v>8 MHz crystal</x:v>
      </x:c>
    </x:row>
    <x:row r="25">
      <x:c r="A25" s="18" t="str">
        <x:v>24</x:v>
      </x:c>
      <x:c r="B25" s="18" t="str">
        <x:v>PH1</x:v>
      </x:c>
      <x:c r="C25" s="13" t="str">
        <x:v>HSE_OUT</x:v>
      </x:c>
      <x:c r="D25" s="13" t="str">
        <x:v>clock</x:v>
      </x:c>
      <x:c r="E25" s="18" t="str">
        <x:v>clock</x:v>
      </x:c>
      <x:c r="F25" s="18" t="str">
        <x:v>schematic</x:v>
      </x:c>
      <x:c r="G25" s="22" t="str">
        <x:v>8 MHz crystal</x:v>
      </x:c>
    </x:row>
    <x:row r="26">
      <x:c r="A26" s="18" t="str">
        <x:v>25</x:v>
      </x:c>
      <x:c r="B26" s="18" t="str">
        <x:v>NRST</x:v>
      </x:c>
      <x:c r="C26" s="13" t="str">
        <x:v>RST</x:v>
      </x:c>
      <x:c r="D26" s="13" t="str">
        <x:v>system</x:v>
      </x:c>
      <x:c r="E26" s="18" t="str">
        <x:v>reset</x:v>
      </x:c>
      <x:c r="F26" s="18" t="str">
        <x:v>schematic</x:v>
      </x:c>
      <x:c r="G26" s="22" t="str"/>
    </x:row>
    <x:row r="27">
      <x:c r="A27" s="18" t="str">
        <x:v>26</x:v>
      </x:c>
      <x:c r="B27" s="18" t="str">
        <x:v>PC0</x:v>
      </x:c>
      <x:c r="C27" s="13" t="str">
        <x:v>ULPI_STP</x:v>
      </x:c>
      <x:c r="D27" s="13" t="str">
        <x:v>usb-hs-ulpi</x:v>
      </x:c>
      <x:c r="E27" s="18" t="str">
        <x:v>gpio</x:v>
      </x:c>
      <x:c r="F27" s="18" t="str">
        <x:v>hardware-tested</x:v>
      </x:c>
      <x:c r="G27" s="22" t="str">
        <x:v>USB3300</x:v>
      </x:c>
    </x:row>
    <x:row r="28">
      <x:c r="A28" s="18" t="str">
        <x:v>27</x:v>
      </x:c>
      <x:c r="B28" s="18" t="str">
        <x:v>PC1</x:v>
      </x:c>
      <x:c r="C28" s="13" t="str">
        <x:v>ADC_B0</x:v>
      </x:c>
      <x:c r="D28" s="13" t="str">
        <x:v>input-port-b</x:v>
      </x:c>
      <x:c r="E28" s="18" t="str">
        <x:v>gpio</x:v>
      </x:c>
      <x:c r="F28" s="18" t="str">
        <x:v>schematic</x:v>
      </x:c>
      <x:c r="G28" s="22" t="str">
        <x:v>ADC input</x:v>
      </x:c>
    </x:row>
    <x:row r="29">
      <x:c r="A29" s="18" t="str">
        <x:v>28</x:v>
      </x:c>
      <x:c r="B29" s="18" t="str">
        <x:v>PC2</x:v>
      </x:c>
      <x:c r="C29" s="13" t="str">
        <x:v>ULPI_DIR</x:v>
      </x:c>
      <x:c r="D29" s="13" t="str">
        <x:v>usb-hs-ulpi</x:v>
      </x:c>
      <x:c r="E29" s="18" t="str">
        <x:v>gpio</x:v>
      </x:c>
      <x:c r="F29" s="18" t="str">
        <x:v>hardware-tested</x:v>
      </x:c>
      <x:c r="G29" s="22" t="str">
        <x:v>USB3300</x:v>
      </x:c>
    </x:row>
    <x:row r="30">
      <x:c r="A30" s="18" t="str">
        <x:v>29</x:v>
      </x:c>
      <x:c r="B30" s="18" t="str">
        <x:v>PC3</x:v>
      </x:c>
      <x:c r="C30" s="13" t="str">
        <x:v>ULPI_NXT</x:v>
      </x:c>
      <x:c r="D30" s="13" t="str">
        <x:v>usb-hs-ulpi</x:v>
      </x:c>
      <x:c r="E30" s="18" t="str">
        <x:v>gpio</x:v>
      </x:c>
      <x:c r="F30" s="18" t="str">
        <x:v>hardware-tested</x:v>
      </x:c>
      <x:c r="G30" s="22" t="str">
        <x:v>USB3300</x:v>
      </x:c>
    </x:row>
    <x:row r="31">
      <x:c r="A31" s="18" t="str">
        <x:v>30</x:v>
      </x:c>
      <x:c r="B31" s="18" t="str">
        <x:v>VDD</x:v>
      </x:c>
      <x:c r="C31" s="13" t="str">
        <x:v>V33</x:v>
      </x:c>
      <x:c r="D31" s="13" t="str">
        <x:v>power</x:v>
      </x:c>
      <x:c r="E31" s="18" t="str">
        <x:v>supply</x:v>
      </x:c>
      <x:c r="F31" s="18" t="str">
        <x:v>schematic</x:v>
      </x:c>
      <x:c r="G31" s="22" t="str"/>
    </x:row>
    <x:row r="32">
      <x:c r="A32" s="18" t="str">
        <x:v>31</x:v>
      </x:c>
      <x:c r="B32" s="18" t="str">
        <x:v>VSSA</x:v>
      </x:c>
      <x:c r="C32" s="13" t="str">
        <x:v>AGND</x:v>
      </x:c>
      <x:c r="D32" s="13" t="str">
        <x:v>power</x:v>
      </x:c>
      <x:c r="E32" s="18" t="str">
        <x:v>ground</x:v>
      </x:c>
      <x:c r="F32" s="18" t="str">
        <x:v>schematic</x:v>
      </x:c>
      <x:c r="G32" s="22" t="str"/>
    </x:row>
    <x:row r="33">
      <x:c r="A33" s="18" t="str">
        <x:v>32</x:v>
      </x:c>
      <x:c r="B33" s="18" t="str">
        <x:v>VREF+</x:v>
      </x:c>
      <x:c r="C33" s="13" t="str">
        <x:v>VREF</x:v>
      </x:c>
      <x:c r="D33" s="13" t="str">
        <x:v>power</x:v>
      </x:c>
      <x:c r="E33" s="18" t="str">
        <x:v>analog-reference</x:v>
      </x:c>
      <x:c r="F33" s="18" t="str">
        <x:v>schematic</x:v>
      </x:c>
      <x:c r="G33" s="22" t="str"/>
    </x:row>
    <x:row r="34">
      <x:c r="A34" s="18" t="str">
        <x:v>33</x:v>
      </x:c>
      <x:c r="B34" s="18" t="str">
        <x:v>VDDA</x:v>
      </x:c>
      <x:c r="C34" s="13" t="str">
        <x:v>V33A</x:v>
      </x:c>
      <x:c r="D34" s="13" t="str">
        <x:v>power</x:v>
      </x:c>
      <x:c r="E34" s="18" t="str">
        <x:v>supply</x:v>
      </x:c>
      <x:c r="F34" s="18" t="str">
        <x:v>schematic</x:v>
      </x:c>
      <x:c r="G34" s="22" t="str">
        <x:v>analog supply</x:v>
      </x:c>
    </x:row>
    <x:row r="35">
      <x:c r="A35" s="18" t="str">
        <x:v>34</x:v>
      </x:c>
      <x:c r="B35" s="18" t="str">
        <x:v>PA0</x:v>
      </x:c>
      <x:c r="C35" s="13" t="str">
        <x:v>TXINA</x:v>
      </x:c>
      <x:c r="D35" s="13" t="str">
        <x:v>input-port-a</x:v>
      </x:c>
      <x:c r="E35" s="18" t="str">
        <x:v>gpio</x:v>
      </x:c>
      <x:c r="F35" s="18" t="str">
        <x:v>schematic</x:v>
      </x:c>
      <x:c r="G35" s="22" t="str"/>
    </x:row>
    <x:row r="36">
      <x:c r="A36" s="18" t="str">
        <x:v>35</x:v>
      </x:c>
      <x:c r="B36" s="18" t="str">
        <x:v>PA1</x:v>
      </x:c>
      <x:c r="C36" s="13" t="str">
        <x:v>RXINA</x:v>
      </x:c>
      <x:c r="D36" s="13" t="str">
        <x:v>input-port-a</x:v>
      </x:c>
      <x:c r="E36" s="18" t="str">
        <x:v>gpio</x:v>
      </x:c>
      <x:c r="F36" s="18" t="str">
        <x:v>schematic</x:v>
      </x:c>
      <x:c r="G36" s="22" t="str"/>
    </x:row>
    <x:row r="37">
      <x:c r="A37" s="18" t="str">
        <x:v>36</x:v>
      </x:c>
      <x:c r="B37" s="18" t="str">
        <x:v>PA2</x:v>
      </x:c>
      <x:c r="C37" s="13" t="str">
        <x:v>ADC_B1</x:v>
      </x:c>
      <x:c r="D37" s="13" t="str">
        <x:v>input-port-b</x:v>
      </x:c>
      <x:c r="E37" s="18" t="str">
        <x:v>gpio</x:v>
      </x:c>
      <x:c r="F37" s="18" t="str">
        <x:v>schematic</x:v>
      </x:c>
      <x:c r="G37" s="22" t="str">
        <x:v>ADC input</x:v>
      </x:c>
    </x:row>
    <x:row r="38">
      <x:c r="A38" s="18" t="str">
        <x:v>37</x:v>
      </x:c>
      <x:c r="B38" s="18" t="str">
        <x:v>PA3</x:v>
      </x:c>
      <x:c r="C38" s="13" t="str">
        <x:v>ULPI_D0</x:v>
      </x:c>
      <x:c r="D38" s="13" t="str">
        <x:v>usb-hs-ulpi</x:v>
      </x:c>
      <x:c r="E38" s="18" t="str">
        <x:v>gpio</x:v>
      </x:c>
      <x:c r="F38" s="18" t="str">
        <x:v>hardware-tested</x:v>
      </x:c>
      <x:c r="G38" s="22" t="str">
        <x:v>USB3300</x:v>
      </x:c>
    </x:row>
    <x:row r="39">
      <x:c r="A39" s="18" t="str">
        <x:v>38</x:v>
      </x:c>
      <x:c r="B39" s="18" t="str">
        <x:v>VSS</x:v>
      </x:c>
      <x:c r="C39" s="13" t="str">
        <x:v>GND</x:v>
      </x:c>
      <x:c r="D39" s="13" t="str">
        <x:v>power</x:v>
      </x:c>
      <x:c r="E39" s="18" t="str">
        <x:v>ground</x:v>
      </x:c>
      <x:c r="F39" s="18" t="str">
        <x:v>schematic</x:v>
      </x:c>
      <x:c r="G39" s="22" t="str"/>
    </x:row>
    <x:row r="40">
      <x:c r="A40" s="18" t="str">
        <x:v>39</x:v>
      </x:c>
      <x:c r="B40" s="18" t="str">
        <x:v>VDD</x:v>
      </x:c>
      <x:c r="C40" s="13" t="str">
        <x:v>V33</x:v>
      </x:c>
      <x:c r="D40" s="13" t="str">
        <x:v>power</x:v>
      </x:c>
      <x:c r="E40" s="18" t="str">
        <x:v>supply</x:v>
      </x:c>
      <x:c r="F40" s="18" t="str">
        <x:v>schematic</x:v>
      </x:c>
      <x:c r="G40" s="22" t="str"/>
    </x:row>
    <x:row r="41">
      <x:c r="A41" s="18" t="str">
        <x:v>40</x:v>
      </x:c>
      <x:c r="B41" s="18" t="str">
        <x:v>PA4</x:v>
      </x:c>
      <x:c r="C41" s="13" t="str">
        <x:v>ADC_C0</x:v>
      </x:c>
      <x:c r="D41" s="13" t="str">
        <x:v>input-port-c</x:v>
      </x:c>
      <x:c r="E41" s="18" t="str">
        <x:v>gpio</x:v>
      </x:c>
      <x:c r="F41" s="18" t="str">
        <x:v>schematic</x:v>
      </x:c>
      <x:c r="G41" s="22" t="str">
        <x:v>ADC input</x:v>
      </x:c>
    </x:row>
    <x:row r="42">
      <x:c r="A42" s="18" t="str">
        <x:v>41</x:v>
      </x:c>
      <x:c r="B42" s="18" t="str">
        <x:v>PA5</x:v>
      </x:c>
      <x:c r="C42" s="13" t="str">
        <x:v>ULPI_CK</x:v>
      </x:c>
      <x:c r="D42" s="13" t="str">
        <x:v>usb-hs-ulpi</x:v>
      </x:c>
      <x:c r="E42" s="18" t="str">
        <x:v>gpio</x:v>
      </x:c>
      <x:c r="F42" s="18" t="str">
        <x:v>hardware-tested</x:v>
      </x:c>
      <x:c r="G42" s="22" t="str">
        <x:v>USB3300</x:v>
      </x:c>
    </x:row>
    <x:row r="43">
      <x:c r="A43" s="18" t="str">
        <x:v>42</x:v>
      </x:c>
      <x:c r="B43" s="18" t="str">
        <x:v>PA6</x:v>
      </x:c>
      <x:c r="C43" s="13" t="str">
        <x:v>ADC_D1</x:v>
      </x:c>
      <x:c r="D43" s="13" t="str">
        <x:v>input-port-d</x:v>
      </x:c>
      <x:c r="E43" s="18" t="str">
        <x:v>gpio</x:v>
      </x:c>
      <x:c r="F43" s="18" t="str">
        <x:v>schematic</x:v>
      </x:c>
      <x:c r="G43" s="22" t="str">
        <x:v>ADC input</x:v>
      </x:c>
    </x:row>
    <x:row r="44">
      <x:c r="A44" s="18" t="str">
        <x:v>43</x:v>
      </x:c>
      <x:c r="B44" s="18" t="str">
        <x:v>PA7</x:v>
      </x:c>
      <x:c r="C44" s="13" t="str">
        <x:v>ADC_D0</x:v>
      </x:c>
      <x:c r="D44" s="13" t="str">
        <x:v>input-port-d</x:v>
      </x:c>
      <x:c r="E44" s="18" t="str">
        <x:v>gpio</x:v>
      </x:c>
      <x:c r="F44" s="18" t="str">
        <x:v>schematic</x:v>
      </x:c>
      <x:c r="G44" s="22" t="str">
        <x:v>ADC input</x:v>
      </x:c>
    </x:row>
    <x:row r="45">
      <x:c r="A45" s="18" t="str">
        <x:v>44</x:v>
      </x:c>
      <x:c r="B45" s="18" t="str">
        <x:v>PC4</x:v>
      </x:c>
      <x:c r="C45" s="13" t="str">
        <x:v>ADCMA</x:v>
      </x:c>
      <x:c r="D45" s="13" t="str">
        <x:v>motor-current-a</x:v>
      </x:c>
      <x:c r="E45" s="18" t="str">
        <x:v>gpio</x:v>
      </x:c>
      <x:c r="F45" s="18" t="str">
        <x:v>schematic</x:v>
      </x:c>
      <x:c r="G45" s="22" t="str">
        <x:v>ADC input</x:v>
      </x:c>
    </x:row>
    <x:row r="46">
      <x:c r="A46" s="18" t="str">
        <x:v>45</x:v>
      </x:c>
      <x:c r="B46" s="18" t="str">
        <x:v>PC5</x:v>
      </x:c>
      <x:c r="C46" s="13" t="str">
        <x:v>ADCMB</x:v>
      </x:c>
      <x:c r="D46" s="13" t="str">
        <x:v>motor-current-b</x:v>
      </x:c>
      <x:c r="E46" s="18" t="str">
        <x:v>gpio</x:v>
      </x:c>
      <x:c r="F46" s="18" t="str">
        <x:v>schematic</x:v>
      </x:c>
      <x:c r="G46" s="22" t="str">
        <x:v>ADC input</x:v>
      </x:c>
    </x:row>
    <x:row r="47">
      <x:c r="A47" s="18" t="str">
        <x:v>46</x:v>
      </x:c>
      <x:c r="B47" s="18" t="str">
        <x:v>PB0</x:v>
      </x:c>
      <x:c r="C47" s="13" t="str">
        <x:v>ULPI_D1</x:v>
      </x:c>
      <x:c r="D47" s="13" t="str">
        <x:v>usb-hs-ulpi</x:v>
      </x:c>
      <x:c r="E47" s="18" t="str">
        <x:v>gpio</x:v>
      </x:c>
      <x:c r="F47" s="18" t="str">
        <x:v>hardware-tested</x:v>
      </x:c>
      <x:c r="G47" s="22" t="str">
        <x:v>USB3300</x:v>
      </x:c>
    </x:row>
    <x:row r="48">
      <x:c r="A48" s="18" t="str">
        <x:v>47</x:v>
      </x:c>
      <x:c r="B48" s="18" t="str">
        <x:v>PB1</x:v>
      </x:c>
      <x:c r="C48" s="13" t="str">
        <x:v>ULPI_D2</x:v>
      </x:c>
      <x:c r="D48" s="13" t="str">
        <x:v>usb-hs-ulpi</x:v>
      </x:c>
      <x:c r="E48" s="18" t="str">
        <x:v>gpio</x:v>
      </x:c>
      <x:c r="F48" s="18" t="str">
        <x:v>hardware-tested</x:v>
      </x:c>
      <x:c r="G48" s="22" t="str">
        <x:v>USB3300</x:v>
      </x:c>
    </x:row>
    <x:row r="49">
      <x:c r="A49" s="18" t="str">
        <x:v>48</x:v>
      </x:c>
      <x:c r="B49" s="18" t="str">
        <x:v>PB2</x:v>
      </x:c>
      <x:c r="C49" s="13" t="str">
        <x:v>NC</x:v>
      </x:c>
      <x:c r="D49" s="13" t="str">
        <x:v>system</x:v>
      </x:c>
      <x:c r="E49" s="18" t="str">
        <x:v>gpio</x:v>
      </x:c>
      <x:c r="F49" s="18" t="str">
        <x:v>schematic</x:v>
      </x:c>
      <x:c r="G49" s="22" t="str">
        <x:v>BOOT1-capable pin with no net shown</x:v>
      </x:c>
    </x:row>
    <x:row r="50">
      <x:c r="A50" s="18" t="str">
        <x:v>49</x:v>
      </x:c>
      <x:c r="B50" s="18" t="str">
        <x:v>PF11</x:v>
      </x:c>
      <x:c r="C50" s="13" t="str">
        <x:v>DIGIB1</x:v>
      </x:c>
      <x:c r="D50" s="13" t="str">
        <x:v>input-port-b</x:v>
      </x:c>
      <x:c r="E50" s="18" t="str">
        <x:v>gpio</x:v>
      </x:c>
      <x:c r="F50" s="18" t="str">
        <x:v>schematic</x:v>
      </x:c>
      <x:c r="G50" s="22" t="str"/>
    </x:row>
    <x:row r="51">
      <x:c r="A51" s="18" t="str">
        <x:v>50</x:v>
      </x:c>
      <x:c r="B51" s="18" t="str">
        <x:v>PF12</x:v>
      </x:c>
      <x:c r="C51" s="13" t="str">
        <x:v>I_ONB</x:v>
      </x:c>
      <x:c r="D51" s="13" t="str">
        <x:v>input-port-b</x:v>
      </x:c>
      <x:c r="E51" s="18" t="str">
        <x:v>gpio</x:v>
      </x:c>
      <x:c r="F51" s="18" t="str">
        <x:v>schematic</x:v>
      </x:c>
      <x:c r="G51" s="22" t="str"/>
    </x:row>
    <x:row r="52">
      <x:c r="A52" s="18" t="str">
        <x:v>51</x:v>
      </x:c>
      <x:c r="B52" s="18" t="str">
        <x:v>VSS</x:v>
      </x:c>
      <x:c r="C52" s="13" t="str">
        <x:v>GND</x:v>
      </x:c>
      <x:c r="D52" s="13" t="str">
        <x:v>power</x:v>
      </x:c>
      <x:c r="E52" s="18" t="str">
        <x:v>ground</x:v>
      </x:c>
      <x:c r="F52" s="18" t="str">
        <x:v>schematic</x:v>
      </x:c>
      <x:c r="G52" s="22" t="str"/>
    </x:row>
    <x:row r="53">
      <x:c r="A53" s="18" t="str">
        <x:v>52</x:v>
      </x:c>
      <x:c r="B53" s="18" t="str">
        <x:v>VDD</x:v>
      </x:c>
      <x:c r="C53" s="13" t="str">
        <x:v>V33</x:v>
      </x:c>
      <x:c r="D53" s="13" t="str">
        <x:v>power</x:v>
      </x:c>
      <x:c r="E53" s="18" t="str">
        <x:v>supply</x:v>
      </x:c>
      <x:c r="F53" s="18" t="str">
        <x:v>schematic</x:v>
      </x:c>
      <x:c r="G53" s="22" t="str"/>
    </x:row>
    <x:row r="54">
      <x:c r="A54" s="18" t="str">
        <x:v>53</x:v>
      </x:c>
      <x:c r="B54" s="18" t="str">
        <x:v>PF13</x:v>
      </x:c>
      <x:c r="C54" s="13" t="str">
        <x:v>DIGIB0</x:v>
      </x:c>
      <x:c r="D54" s="13" t="str">
        <x:v>input-port-b</x:v>
      </x:c>
      <x:c r="E54" s="18" t="str">
        <x:v>gpio</x:v>
      </x:c>
      <x:c r="F54" s="18" t="str">
        <x:v>schematic</x:v>
      </x:c>
      <x:c r="G54" s="22" t="str"/>
    </x:row>
    <x:row r="55">
      <x:c r="A55" s="18" t="str">
        <x:v>54</x:v>
      </x:c>
      <x:c r="B55" s="18" t="str">
        <x:v>PF14</x:v>
      </x:c>
      <x:c r="C55" s="13" t="str">
        <x:v>LEGDETB</x:v>
      </x:c>
      <x:c r="D55" s="13" t="str">
        <x:v>input-port-b</x:v>
      </x:c>
      <x:c r="E55" s="18" t="str">
        <x:v>gpio</x:v>
      </x:c>
      <x:c r="F55" s="18" t="str">
        <x:v>schematic</x:v>
      </x:c>
      <x:c r="G55" s="22" t="str"/>
    </x:row>
    <x:row r="56">
      <x:c r="A56" s="18" t="str">
        <x:v>55</x:v>
      </x:c>
      <x:c r="B56" s="18" t="str">
        <x:v>PF15</x:v>
      </x:c>
      <x:c r="C56" s="13" t="str">
        <x:v>I_ONC</x:v>
      </x:c>
      <x:c r="D56" s="13" t="str">
        <x:v>input-port-c</x:v>
      </x:c>
      <x:c r="E56" s="18" t="str">
        <x:v>gpio</x:v>
      </x:c>
      <x:c r="F56" s="18" t="str">
        <x:v>schematic</x:v>
      </x:c>
      <x:c r="G56" s="22" t="str"/>
    </x:row>
    <x:row r="57">
      <x:c r="A57" s="18" t="str">
        <x:v>56</x:v>
      </x:c>
      <x:c r="B57" s="18" t="str">
        <x:v>PG0</x:v>
      </x:c>
      <x:c r="C57" s="13" t="str">
        <x:v>DIGIC1</x:v>
      </x:c>
      <x:c r="D57" s="13" t="str">
        <x:v>input-port-c</x:v>
      </x:c>
      <x:c r="E57" s="18" t="str">
        <x:v>gpio</x:v>
      </x:c>
      <x:c r="F57" s="18" t="str">
        <x:v>schematic</x:v>
      </x:c>
      <x:c r="G57" s="22" t="str"/>
    </x:row>
    <x:row r="58">
      <x:c r="A58" s="18" t="str">
        <x:v>57</x:v>
      </x:c>
      <x:c r="B58" s="18" t="str">
        <x:v>PG1</x:v>
      </x:c>
      <x:c r="C58" s="13" t="str">
        <x:v>DIGIC0</x:v>
      </x:c>
      <x:c r="D58" s="13" t="str">
        <x:v>input-port-c</x:v>
      </x:c>
      <x:c r="E58" s="18" t="str">
        <x:v>gpio</x:v>
      </x:c>
      <x:c r="F58" s="18" t="str">
        <x:v>schematic</x:v>
      </x:c>
      <x:c r="G58" s="22" t="str"/>
    </x:row>
    <x:row r="59">
      <x:c r="A59" s="18" t="str">
        <x:v>58</x:v>
      </x:c>
      <x:c r="B59" s="18" t="str">
        <x:v>PE7</x:v>
      </x:c>
      <x:c r="C59" s="13" t="str">
        <x:v>LEGDETC</x:v>
      </x:c>
      <x:c r="D59" s="13" t="str">
        <x:v>input-port-c</x:v>
      </x:c>
      <x:c r="E59" s="18" t="str">
        <x:v>gpio</x:v>
      </x:c>
      <x:c r="F59" s="18" t="str">
        <x:v>schematic</x:v>
      </x:c>
      <x:c r="G59" s="22" t="str"/>
    </x:row>
    <x:row r="60">
      <x:c r="A60" s="18" t="str">
        <x:v>59</x:v>
      </x:c>
      <x:c r="B60" s="18" t="str">
        <x:v>PE8</x:v>
      </x:c>
      <x:c r="C60" s="13" t="str">
        <x:v>RXINC_EN</x:v>
      </x:c>
      <x:c r="D60" s="13" t="str">
        <x:v>input-port-c</x:v>
      </x:c>
      <x:c r="E60" s="18" t="str">
        <x:v>gpio</x:v>
      </x:c>
      <x:c r="F60" s="18" t="str">
        <x:v>schematic</x:v>
      </x:c>
      <x:c r="G60" s="22" t="str"/>
    </x:row>
    <x:row r="61">
      <x:c r="A61" s="18" t="str">
        <x:v>60</x:v>
      </x:c>
      <x:c r="B61" s="18" t="str">
        <x:v>PE9</x:v>
      </x:c>
      <x:c r="C61" s="13" t="str">
        <x:v>RXIND_EN</x:v>
      </x:c>
      <x:c r="D61" s="13" t="str">
        <x:v>input-port-d</x:v>
      </x:c>
      <x:c r="E61" s="18" t="str">
        <x:v>gpio</x:v>
      </x:c>
      <x:c r="F61" s="18" t="str">
        <x:v>schematic</x:v>
      </x:c>
      <x:c r="G61" s="22" t="str"/>
    </x:row>
    <x:row r="62">
      <x:c r="A62" s="18" t="str">
        <x:v>61</x:v>
      </x:c>
      <x:c r="B62" s="18" t="str">
        <x:v>VSS</x:v>
      </x:c>
      <x:c r="C62" s="13" t="str">
        <x:v>GND</x:v>
      </x:c>
      <x:c r="D62" s="13" t="str">
        <x:v>power</x:v>
      </x:c>
      <x:c r="E62" s="18" t="str">
        <x:v>ground</x:v>
      </x:c>
      <x:c r="F62" s="18" t="str">
        <x:v>schematic</x:v>
      </x:c>
      <x:c r="G62" s="22" t="str"/>
    </x:row>
    <x:row r="63">
      <x:c r="A63" s="18" t="str">
        <x:v>62</x:v>
      </x:c>
      <x:c r="B63" s="18" t="str">
        <x:v>VDD</x:v>
      </x:c>
      <x:c r="C63" s="13" t="str">
        <x:v>V33</x:v>
      </x:c>
      <x:c r="D63" s="13" t="str">
        <x:v>power</x:v>
      </x:c>
      <x:c r="E63" s="18" t="str">
        <x:v>supply</x:v>
      </x:c>
      <x:c r="F63" s="18" t="str">
        <x:v>schematic</x:v>
      </x:c>
      <x:c r="G63" s="22" t="str"/>
    </x:row>
    <x:row r="64">
      <x:c r="A64" s="18" t="str">
        <x:v>63</x:v>
      </x:c>
      <x:c r="B64" s="18" t="str">
        <x:v>PE10</x:v>
      </x:c>
      <x:c r="C64" s="13" t="str">
        <x:v>LEGDETD</x:v>
      </x:c>
      <x:c r="D64" s="13" t="str">
        <x:v>input-port-d</x:v>
      </x:c>
      <x:c r="E64" s="18" t="str">
        <x:v>gpio</x:v>
      </x:c>
      <x:c r="F64" s="18" t="str">
        <x:v>schematic</x:v>
      </x:c>
      <x:c r="G64" s="22" t="str"/>
    </x:row>
    <x:row r="65">
      <x:c r="A65" s="18" t="str">
        <x:v>64</x:v>
      </x:c>
      <x:c r="B65" s="18" t="str">
        <x:v>PE11</x:v>
      </x:c>
      <x:c r="C65" s="13" t="str">
        <x:v>DIGID0</x:v>
      </x:c>
      <x:c r="D65" s="13" t="str">
        <x:v>input-port-d</x:v>
      </x:c>
      <x:c r="E65" s="18" t="str">
        <x:v>gpio</x:v>
      </x:c>
      <x:c r="F65" s="18" t="str">
        <x:v>schematic</x:v>
      </x:c>
      <x:c r="G65" s="22" t="str"/>
    </x:row>
    <x:row r="66">
      <x:c r="A66" s="18" t="str">
        <x:v>65</x:v>
      </x:c>
      <x:c r="B66" s="18" t="str">
        <x:v>PE12</x:v>
      </x:c>
      <x:c r="C66" s="13" t="str">
        <x:v>DIGID1</x:v>
      </x:c>
      <x:c r="D66" s="13" t="str">
        <x:v>input-port-d</x:v>
      </x:c>
      <x:c r="E66" s="18" t="str">
        <x:v>gpio</x:v>
      </x:c>
      <x:c r="F66" s="18" t="str">
        <x:v>schematic</x:v>
      </x:c>
      <x:c r="G66" s="22" t="str"/>
    </x:row>
    <x:row r="67">
      <x:c r="A67" s="18" t="str">
        <x:v>66</x:v>
      </x:c>
      <x:c r="B67" s="18" t="str">
        <x:v>PE13</x:v>
      </x:c>
      <x:c r="C67" s="13" t="str">
        <x:v>TACHOB0</x:v>
      </x:c>
      <x:c r="D67" s="13" t="str">
        <x:v>motor-feedback</x:v>
      </x:c>
      <x:c r="E67" s="18" t="str">
        <x:v>gpio</x:v>
      </x:c>
      <x:c r="F67" s="18" t="str">
        <x:v>schematic</x:v>
      </x:c>
      <x:c r="G67" s="22" t="str"/>
    </x:row>
    <x:row r="68">
      <x:c r="A68" s="18" t="str">
        <x:v>67</x:v>
      </x:c>
      <x:c r="B68" s="18" t="str">
        <x:v>PE14</x:v>
      </x:c>
      <x:c r="C68" s="13" t="str">
        <x:v>TACHOB1</x:v>
      </x:c>
      <x:c r="D68" s="13" t="str">
        <x:v>motor-feedback</x:v>
      </x:c>
      <x:c r="E68" s="18" t="str">
        <x:v>gpio</x:v>
      </x:c>
      <x:c r="F68" s="18" t="str">
        <x:v>schematic</x:v>
      </x:c>
      <x:c r="G68" s="22" t="str"/>
    </x:row>
    <x:row r="69">
      <x:c r="A69" s="18" t="str">
        <x:v>68</x:v>
      </x:c>
      <x:c r="B69" s="18" t="str">
        <x:v>PE15</x:v>
      </x:c>
      <x:c r="C69" s="13" t="str">
        <x:v>I_OND</x:v>
      </x:c>
      <x:c r="D69" s="13" t="str">
        <x:v>input-port-d</x:v>
      </x:c>
      <x:c r="E69" s="18" t="str">
        <x:v>gpio</x:v>
      </x:c>
      <x:c r="F69" s="18" t="str">
        <x:v>schematic</x:v>
      </x:c>
      <x:c r="G69" s="22" t="str"/>
    </x:row>
    <x:row r="70">
      <x:c r="A70" s="18" t="str">
        <x:v>69</x:v>
      </x:c>
      <x:c r="B70" s="18" t="str">
        <x:v>PB10</x:v>
      </x:c>
      <x:c r="C70" s="13" t="str">
        <x:v>ULPI_D3</x:v>
      </x:c>
      <x:c r="D70" s="13" t="str">
        <x:v>usb-hs-ulpi</x:v>
      </x:c>
      <x:c r="E70" s="18" t="str">
        <x:v>gpio</x:v>
      </x:c>
      <x:c r="F70" s="18" t="str">
        <x:v>hardware-tested</x:v>
      </x:c>
      <x:c r="G70" s="22" t="str">
        <x:v>USB3300</x:v>
      </x:c>
    </x:row>
    <x:row r="71">
      <x:c r="A71" s="18" t="str">
        <x:v>70</x:v>
      </x:c>
      <x:c r="B71" s="18" t="str">
        <x:v>PB11</x:v>
      </x:c>
      <x:c r="C71" s="13" t="str">
        <x:v>ULPI_D4</x:v>
      </x:c>
      <x:c r="D71" s="13" t="str">
        <x:v>usb-hs-ulpi</x:v>
      </x:c>
      <x:c r="E71" s="18" t="str">
        <x:v>gpio</x:v>
      </x:c>
      <x:c r="F71" s="18" t="str">
        <x:v>hardware-tested</x:v>
      </x:c>
      <x:c r="G71" s="22" t="str">
        <x:v>USB3300</x:v>
      </x:c>
    </x:row>
    <x:row r="72">
      <x:c r="A72" s="18" t="str">
        <x:v>71</x:v>
      </x:c>
      <x:c r="B72" s="18" t="str">
        <x:v>VCAP_1</x:v>
      </x:c>
      <x:c r="C72" s="13" t="str">
        <x:v>VCAP_1</x:v>
      </x:c>
      <x:c r="D72" s="13" t="str">
        <x:v>power</x:v>
      </x:c>
      <x:c r="E72" s="18" t="str">
        <x:v>internal-cap</x:v>
      </x:c>
      <x:c r="F72" s="18" t="str">
        <x:v>schematic</x:v>
      </x:c>
      <x:c r="G72" s="22" t="str"/>
    </x:row>
    <x:row r="73">
      <x:c r="A73" s="18" t="str">
        <x:v>72</x:v>
      </x:c>
      <x:c r="B73" s="18" t="str">
        <x:v>VDD</x:v>
      </x:c>
      <x:c r="C73" s="13" t="str">
        <x:v>V33</x:v>
      </x:c>
      <x:c r="D73" s="13" t="str">
        <x:v>power</x:v>
      </x:c>
      <x:c r="E73" s="18" t="str">
        <x:v>supply</x:v>
      </x:c>
      <x:c r="F73" s="18" t="str">
        <x:v>schematic</x:v>
      </x:c>
      <x:c r="G73" s="22" t="str"/>
    </x:row>
    <x:row r="74">
      <x:c r="A74" s="18" t="str">
        <x:v>73</x:v>
      </x:c>
      <x:c r="B74" s="18" t="str">
        <x:v>PB12</x:v>
      </x:c>
      <x:c r="C74" s="13" t="str">
        <x:v>ULPI_D5</x:v>
      </x:c>
      <x:c r="D74" s="13" t="str">
        <x:v>usb-hs-ulpi</x:v>
      </x:c>
      <x:c r="E74" s="18" t="str">
        <x:v>gpio</x:v>
      </x:c>
      <x:c r="F74" s="18" t="str">
        <x:v>hardware-tested</x:v>
      </x:c>
      <x:c r="G74" s="22" t="str">
        <x:v>USB3300; legacy CSV incorrectly called this LCD_LED</x:v>
      </x:c>
    </x:row>
    <x:row r="75">
      <x:c r="A75" s="18" t="str">
        <x:v>74</x:v>
      </x:c>
      <x:c r="B75" s="18" t="str">
        <x:v>PB13</x:v>
      </x:c>
      <x:c r="C75" s="13" t="str">
        <x:v>ULPI_D6</x:v>
      </x:c>
      <x:c r="D75" s="13" t="str">
        <x:v>usb-hs-ulpi</x:v>
      </x:c>
      <x:c r="E75" s="18" t="str">
        <x:v>gpio</x:v>
      </x:c>
      <x:c r="F75" s="18" t="str">
        <x:v>hardware-tested</x:v>
      </x:c>
      <x:c r="G75" s="22" t="str">
        <x:v>USB3300; legacy CSV incorrectly called this LCD_SCK</x:v>
      </x:c>
    </x:row>
    <x:row r="76">
      <x:c r="A76" s="18" t="str">
        <x:v>75</x:v>
      </x:c>
      <x:c r="B76" s="18" t="str">
        <x:v>PB14</x:v>
      </x:c>
      <x:c r="C76" s="13" t="str">
        <x:v>HOSTDM</x:v>
      </x:c>
      <x:c r="D76" s="13" t="str">
        <x:v>usb-host</x:v>
      </x:c>
      <x:c r="E76" s="18" t="str">
        <x:v>gpio</x:v>
      </x:c>
      <x:c r="F76" s="18" t="str">
        <x:v>schematic</x:v>
      </x:c>
      <x:c r="G76" s="22" t="str">
        <x:v>USB FS host D-</x:v>
      </x:c>
    </x:row>
    <x:row r="77">
      <x:c r="A77" s="18" t="str">
        <x:v>76</x:v>
      </x:c>
      <x:c r="B77" s="18" t="str">
        <x:v>PB15</x:v>
      </x:c>
      <x:c r="C77" s="13" t="str">
        <x:v>HOSTDP</x:v>
      </x:c>
      <x:c r="D77" s="13" t="str">
        <x:v>usb-host</x:v>
      </x:c>
      <x:c r="E77" s="18" t="str">
        <x:v>gpio</x:v>
      </x:c>
      <x:c r="F77" s="18" t="str">
        <x:v>schematic</x:v>
      </x:c>
      <x:c r="G77" s="22" t="str">
        <x:v>USB FS host D+</x:v>
      </x:c>
    </x:row>
    <x:row r="78">
      <x:c r="A78" s="18" t="str">
        <x:v>77</x:v>
      </x:c>
      <x:c r="B78" s="18" t="str">
        <x:v>PD8</x:v>
      </x:c>
      <x:c r="C78" s="13" t="str">
        <x:v>TXIND</x:v>
      </x:c>
      <x:c r="D78" s="13" t="str">
        <x:v>input-port-d</x:v>
      </x:c>
      <x:c r="E78" s="18" t="str">
        <x:v>gpio</x:v>
      </x:c>
      <x:c r="F78" s="18" t="str">
        <x:v>schematic</x:v>
      </x:c>
      <x:c r="G78" s="22" t="str"/>
    </x:row>
    <x:row r="79">
      <x:c r="A79" s="18" t="str">
        <x:v>78</x:v>
      </x:c>
      <x:c r="B79" s="18" t="str">
        <x:v>PD9</x:v>
      </x:c>
      <x:c r="C79" s="13" t="str">
        <x:v>RXIND</x:v>
      </x:c>
      <x:c r="D79" s="13" t="str">
        <x:v>input-port-d</x:v>
      </x:c>
      <x:c r="E79" s="18" t="str">
        <x:v>gpio</x:v>
      </x:c>
      <x:c r="F79" s="18" t="str">
        <x:v>schematic</x:v>
      </x:c>
      <x:c r="G79" s="22" t="str"/>
    </x:row>
    <x:row r="80">
      <x:c r="A80" s="18" t="str">
        <x:v>79</x:v>
      </x:c>
      <x:c r="B80" s="18" t="str">
        <x:v>PD10</x:v>
      </x:c>
      <x:c r="C80" s="13" t="str">
        <x:v>BLE_IO2</x:v>
      </x:c>
      <x:c r="D80" s="13" t="str">
        <x:v>bluetooth</x:v>
      </x:c>
      <x:c r="E80" s="18" t="str">
        <x:v>gpio</x:v>
      </x:c>
      <x:c r="F80" s="18" t="str">
        <x:v>schematic</x:v>
      </x:c>
      <x:c r="G80" s="22" t="str"/>
    </x:row>
    <x:row r="81">
      <x:c r="A81" s="18" t="str">
        <x:v>80</x:v>
      </x:c>
      <x:c r="B81" s="18" t="str">
        <x:v>PD11</x:v>
      </x:c>
      <x:c r="C81" s="13" t="str">
        <x:v>BLE_IO1</x:v>
      </x:c>
      <x:c r="D81" s="13" t="str">
        <x:v>bluetooth</x:v>
      </x:c>
      <x:c r="E81" s="18" t="str">
        <x:v>gpio</x:v>
      </x:c>
      <x:c r="F81" s="18" t="str">
        <x:v>schematic</x:v>
      </x:c>
      <x:c r="G81" s="22" t="str"/>
    </x:row>
    <x:row r="82">
      <x:c r="A82" s="18" t="str">
        <x:v>81</x:v>
      </x:c>
      <x:c r="B82" s="18" t="str">
        <x:v>PD12</x:v>
      </x:c>
      <x:c r="C82" s="13" t="str">
        <x:v>MDPWM</x:v>
      </x:c>
      <x:c r="D82" s="13" t="str">
        <x:v>motor-output-d</x:v>
      </x:c>
      <x:c r="E82" s="18" t="str">
        <x:v>gpio</x:v>
      </x:c>
      <x:c r="F82" s="18" t="str">
        <x:v>schematic</x:v>
      </x:c>
      <x:c r="G82" s="22" t="str">
        <x:v>TIM4_CH1</x:v>
      </x:c>
    </x:row>
    <x:row r="83">
      <x:c r="A83" s="18" t="str">
        <x:v>82</x:v>
      </x:c>
      <x:c r="B83" s="18" t="str">
        <x:v>PD13</x:v>
      </x:c>
      <x:c r="C83" s="13" t="str">
        <x:v>MCPWM</x:v>
      </x:c>
      <x:c r="D83" s="13" t="str">
        <x:v>motor-output-c</x:v>
      </x:c>
      <x:c r="E83" s="18" t="str">
        <x:v>gpio</x:v>
      </x:c>
      <x:c r="F83" s="18" t="str">
        <x:v>schematic</x:v>
      </x:c>
      <x:c r="G83" s="22" t="str">
        <x:v>TIM4_CH2</x:v>
      </x:c>
    </x:row>
    <x:row r="84">
      <x:c r="A84" s="18" t="str">
        <x:v>83</x:v>
      </x:c>
      <x:c r="B84" s="18" t="str">
        <x:v>VSS</x:v>
      </x:c>
      <x:c r="C84" s="13" t="str">
        <x:v>GND</x:v>
      </x:c>
      <x:c r="D84" s="13" t="str">
        <x:v>power</x:v>
      </x:c>
      <x:c r="E84" s="18" t="str">
        <x:v>ground</x:v>
      </x:c>
      <x:c r="F84" s="18" t="str">
        <x:v>schematic</x:v>
      </x:c>
      <x:c r="G84" s="22" t="str"/>
    </x:row>
    <x:row r="85">
      <x:c r="A85" s="18" t="str">
        <x:v>84</x:v>
      </x:c>
      <x:c r="B85" s="18" t="str">
        <x:v>VDD</x:v>
      </x:c>
      <x:c r="C85" s="13" t="str">
        <x:v>V33</x:v>
      </x:c>
      <x:c r="D85" s="13" t="str">
        <x:v>power</x:v>
      </x:c>
      <x:c r="E85" s="18" t="str">
        <x:v>supply</x:v>
      </x:c>
      <x:c r="F85" s="18" t="str">
        <x:v>schematic</x:v>
      </x:c>
      <x:c r="G85" s="22" t="str"/>
    </x:row>
    <x:row r="86">
      <x:c r="A86" s="18" t="str">
        <x:v>85</x:v>
      </x:c>
      <x:c r="B86" s="18" t="str">
        <x:v>PD14</x:v>
      </x:c>
      <x:c r="C86" s="13" t="str">
        <x:v>LCD_SCK</x:v>
      </x:c>
      <x:c r="D86" s="13" t="str">
        <x:v>lcd</x:v>
      </x:c>
      <x:c r="E86" s="18" t="str">
        <x:v>gpio</x:v>
      </x:c>
      <x:c r="F86" s="18" t="str">
        <x:v>hardware-tested</x:v>
      </x:c>
      <x:c r="G86" s="22" t="str">
        <x:v>UC1638 serial clock</x:v>
      </x:c>
    </x:row>
    <x:row r="87">
      <x:c r="A87" s="18" t="str">
        <x:v>86</x:v>
      </x:c>
      <x:c r="B87" s="18" t="str">
        <x:v>PD15</x:v>
      </x:c>
      <x:c r="C87" s="13" t="str">
        <x:v>LCD_RST</x:v>
      </x:c>
      <x:c r="D87" s="13" t="str">
        <x:v>lcd</x:v>
      </x:c>
      <x:c r="E87" s="18" t="str">
        <x:v>gpio</x:v>
      </x:c>
      <x:c r="F87" s="18" t="str">
        <x:v>hardware-tested</x:v>
      </x:c>
      <x:c r="G87" s="22" t="str">
        <x:v>UC1638 reset</x:v>
      </x:c>
    </x:row>
    <x:row r="88">
      <x:c r="A88" s="18" t="str">
        <x:v>87</x:v>
      </x:c>
      <x:c r="B88" s="18" t="str">
        <x:v>PG2</x:v>
      </x:c>
      <x:c r="C88" s="13" t="str">
        <x:v>LCD_SDAI</x:v>
      </x:c>
      <x:c r="D88" s="13" t="str">
        <x:v>lcd</x:v>
      </x:c>
      <x:c r="E88" s="18" t="str">
        <x:v>gpio</x:v>
      </x:c>
      <x:c r="F88" s="18" t="str">
        <x:v>hardware-tested</x:v>
      </x:c>
      <x:c r="G88" s="22" t="str">
        <x:v>UC1638 serial data input</x:v>
      </x:c>
    </x:row>
    <x:row r="89">
      <x:c r="A89" s="18" t="str">
        <x:v>88</x:v>
      </x:c>
      <x:c r="B89" s="18" t="str">
        <x:v>PG3</x:v>
      </x:c>
      <x:c r="C89" s="13" t="str">
        <x:v>LCD_SDAO</x:v>
      </x:c>
      <x:c r="D89" s="13" t="str">
        <x:v>lcd</x:v>
      </x:c>
      <x:c r="E89" s="18" t="str">
        <x:v>gpio</x:v>
      </x:c>
      <x:c r="F89" s="18" t="str">
        <x:v>schematic</x:v>
      </x:c>
      <x:c r="G89" s="22" t="str">
        <x:v>UC1638 serial data output; not used by current write-only driver</x:v>
      </x:c>
    </x:row>
    <x:row r="90">
      <x:c r="A90" s="18" t="str">
        <x:v>89</x:v>
      </x:c>
      <x:c r="B90" s="18" t="str">
        <x:v>PG4</x:v>
      </x:c>
      <x:c r="C90" s="13" t="str">
        <x:v>VS_CS</x:v>
      </x:c>
      <x:c r="D90" s="13" t="str">
        <x:v>audio</x:v>
      </x:c>
      <x:c r="E90" s="18" t="str">
        <x:v>gpio</x:v>
      </x:c>
      <x:c r="F90" s="18" t="str">
        <x:v>schematic</x:v>
      </x:c>
      <x:c r="G90" s="22" t="str">
        <x:v>VS1053 control chip select</x:v>
      </x:c>
    </x:row>
    <x:row r="91">
      <x:c r="A91" s="18" t="str">
        <x:v>90</x:v>
      </x:c>
      <x:c r="B91" s="18" t="str">
        <x:v>PG5</x:v>
      </x:c>
      <x:c r="C91" s="13" t="str">
        <x:v>VS_DREQ</x:v>
      </x:c>
      <x:c r="D91" s="13" t="str">
        <x:v>audio</x:v>
      </x:c>
      <x:c r="E91" s="18" t="str">
        <x:v>gpio</x:v>
      </x:c>
      <x:c r="F91" s="18" t="str">
        <x:v>schematic</x:v>
      </x:c>
      <x:c r="G91" s="22" t="str">
        <x:v>VS1053 data request</x:v>
      </x:c>
    </x:row>
    <x:row r="92">
      <x:c r="A92" s="18" t="str">
        <x:v>91</x:v>
      </x:c>
      <x:c r="B92" s="18" t="str">
        <x:v>PG6</x:v>
      </x:c>
      <x:c r="C92" s="13" t="str">
        <x:v>VS_RST</x:v>
      </x:c>
      <x:c r="D92" s="13" t="str">
        <x:v>audio</x:v>
      </x:c>
      <x:c r="E92" s="18" t="str">
        <x:v>gpio</x:v>
      </x:c>
      <x:c r="F92" s="18" t="str">
        <x:v>schematic</x:v>
      </x:c>
      <x:c r="G92" s="22" t="str">
        <x:v>VS1053 reset</x:v>
      </x:c>
    </x:row>
    <x:row r="93">
      <x:c r="A93" s="18" t="str">
        <x:v>92</x:v>
      </x:c>
      <x:c r="B93" s="18" t="str">
        <x:v>PG7</x:v>
      </x:c>
      <x:c r="C93" s="13" t="str">
        <x:v>VS_XDCS</x:v>
      </x:c>
      <x:c r="D93" s="13" t="str">
        <x:v>audio</x:v>
      </x:c>
      <x:c r="E93" s="18" t="str">
        <x:v>gpio</x:v>
      </x:c>
      <x:c r="F93" s="18" t="str">
        <x:v>schematic</x:v>
      </x:c>
      <x:c r="G93" s="22" t="str">
        <x:v>VS1053 data chip select</x:v>
      </x:c>
    </x:row>
    <x:row r="94">
      <x:c r="A94" s="18" t="str">
        <x:v>93</x:v>
      </x:c>
      <x:c r="B94" s="18" t="str">
        <x:v>PG8</x:v>
      </x:c>
      <x:c r="C94" s="13" t="str">
        <x:v>BELL</x:v>
      </x:c>
      <x:c r="D94" s="13" t="str">
        <x:v>buzzer</x:v>
      </x:c>
      <x:c r="E94" s="18" t="str">
        <x:v>gpio</x:v>
      </x:c>
      <x:c r="F94" s="18" t="str">
        <x:v>schematic</x:v>
      </x:c>
      <x:c r="G94" s="22" t="str"/>
    </x:row>
    <x:row r="95">
      <x:c r="A95" s="18" t="str">
        <x:v>94</x:v>
      </x:c>
      <x:c r="B95" s="18" t="str">
        <x:v>VSS</x:v>
      </x:c>
      <x:c r="C95" s="13" t="str">
        <x:v>GND</x:v>
      </x:c>
      <x:c r="D95" s="13" t="str">
        <x:v>power</x:v>
      </x:c>
      <x:c r="E95" s="18" t="str">
        <x:v>ground</x:v>
      </x:c>
      <x:c r="F95" s="18" t="str">
        <x:v>schematic</x:v>
      </x:c>
      <x:c r="G95" s="22" t="str"/>
    </x:row>
    <x:row r="96">
      <x:c r="A96" s="18" t="str">
        <x:v>95</x:v>
      </x:c>
      <x:c r="B96" s="18" t="str">
        <x:v>VDD</x:v>
      </x:c>
      <x:c r="C96" s="13" t="str">
        <x:v>V33</x:v>
      </x:c>
      <x:c r="D96" s="13" t="str">
        <x:v>power</x:v>
      </x:c>
      <x:c r="E96" s="18" t="str">
        <x:v>supply</x:v>
      </x:c>
      <x:c r="F96" s="18" t="str">
        <x:v>schematic</x:v>
      </x:c>
      <x:c r="G96" s="22" t="str"/>
    </x:row>
    <x:row r="97">
      <x:c r="A97" s="18" t="str">
        <x:v>96</x:v>
      </x:c>
      <x:c r="B97" s="18" t="str">
        <x:v>PC6</x:v>
      </x:c>
      <x:c r="C97" s="13" t="str">
        <x:v>TACHOC1</x:v>
      </x:c>
      <x:c r="D97" s="13" t="str">
        <x:v>motor-feedback</x:v>
      </x:c>
      <x:c r="E97" s="18" t="str">
        <x:v>gpio</x:v>
      </x:c>
      <x:c r="F97" s="18" t="str">
        <x:v>schematic</x:v>
      </x:c>
      <x:c r="G97" s="22" t="str"/>
    </x:row>
    <x:row r="98">
      <x:c r="A98" s="18" t="str">
        <x:v>97</x:v>
      </x:c>
      <x:c r="B98" s="18" t="str">
        <x:v>PC7</x:v>
      </x:c>
      <x:c r="C98" s="13" t="str">
        <x:v>TACHOC0</x:v>
      </x:c>
      <x:c r="D98" s="13" t="str">
        <x:v>motor-feedback</x:v>
      </x:c>
      <x:c r="E98" s="18" t="str">
        <x:v>gpio</x:v>
      </x:c>
      <x:c r="F98" s="18" t="str">
        <x:v>schematic</x:v>
      </x:c>
      <x:c r="G98" s="22" t="str"/>
    </x:row>
    <x:row r="99">
      <x:c r="A99" s="18" t="str">
        <x:v>98</x:v>
      </x:c>
      <x:c r="B99" s="18" t="str">
        <x:v>PC8</x:v>
      </x:c>
      <x:c r="C99" s="13" t="str">
        <x:v>TACHOD1</x:v>
      </x:c>
      <x:c r="D99" s="13" t="str">
        <x:v>motor-feedback</x:v>
      </x:c>
      <x:c r="E99" s="18" t="str">
        <x:v>gpio</x:v>
      </x:c>
      <x:c r="F99" s="18" t="str">
        <x:v>schematic</x:v>
      </x:c>
      <x:c r="G99" s="22" t="str"/>
    </x:row>
    <x:row r="100">
      <x:c r="A100" s="18" t="str">
        <x:v>99</x:v>
      </x:c>
      <x:c r="B100" s="18" t="str">
        <x:v>PC9</x:v>
      </x:c>
      <x:c r="C100" s="13" t="str">
        <x:v>TACHOD0</x:v>
      </x:c>
      <x:c r="D100" s="13" t="str">
        <x:v>motor-feedback</x:v>
      </x:c>
      <x:c r="E100" s="18" t="str">
        <x:v>gpio</x:v>
      </x:c>
      <x:c r="F100" s="18" t="str">
        <x:v>schematic</x:v>
      </x:c>
      <x:c r="G100" s="22" t="str"/>
    </x:row>
    <x:row r="101">
      <x:c r="A101" s="18" t="str">
        <x:v>100</x:v>
      </x:c>
      <x:c r="B101" s="18" t="str">
        <x:v>PA8</x:v>
      </x:c>
      <x:c r="C101" s="13" t="str">
        <x:v>LCD_LED</x:v>
      </x:c>
      <x:c r="D101" s="13" t="str">
        <x:v>lcd</x:v>
      </x:c>
      <x:c r="E101" s="18" t="str">
        <x:v>gpio</x:v>
      </x:c>
      <x:c r="F101" s="18" t="str">
        <x:v>schematic</x:v>
      </x:c>
      <x:c r="G101" s="22" t="str">
        <x:v>backlight control; current APP leaves Bootloader state unchanged</x:v>
      </x:c>
    </x:row>
    <x:row r="102">
      <x:c r="A102" s="18" t="str">
        <x:v>101</x:v>
      </x:c>
      <x:c r="B102" s="18" t="str">
        <x:v>PA9</x:v>
      </x:c>
      <x:c r="C102" s="13" t="str">
        <x:v>MDIN1</x:v>
      </x:c>
      <x:c r="D102" s="13" t="str">
        <x:v>motor-output-d</x:v>
      </x:c>
      <x:c r="E102" s="18" t="str">
        <x:v>gpio</x:v>
      </x:c>
      <x:c r="F102" s="18" t="str">
        <x:v>schematic</x:v>
      </x:c>
      <x:c r="G102" s="22" t="str"/>
    </x:row>
    <x:row r="103">
      <x:c r="A103" s="18" t="str">
        <x:v>102</x:v>
      </x:c>
      <x:c r="B103" s="18" t="str">
        <x:v>PA10</x:v>
      </x:c>
      <x:c r="C103" s="13" t="str">
        <x:v>MDIN0</x:v>
      </x:c>
      <x:c r="D103" s="13" t="str">
        <x:v>motor-output-d</x:v>
      </x:c>
      <x:c r="E103" s="18" t="str">
        <x:v>gpio</x:v>
      </x:c>
      <x:c r="F103" s="18" t="str">
        <x:v>schematic</x:v>
      </x:c>
      <x:c r="G103" s="22" t="str"/>
    </x:row>
    <x:row r="104">
      <x:c r="A104" s="18" t="str">
        <x:v>103</x:v>
      </x:c>
      <x:c r="B104" s="18" t="str">
        <x:v>PA11</x:v>
      </x:c>
      <x:c r="C104" s="13" t="str">
        <x:v>HOSTDM2</x:v>
      </x:c>
      <x:c r="D104" s="13" t="str">
        <x:v>usb-host</x:v>
      </x:c>
      <x:c r="E104" s="18" t="str">
        <x:v>gpio</x:v>
      </x:c>
      <x:c r="F104" s="18" t="str">
        <x:v>schematic</x:v>
      </x:c>
      <x:c r="G104" s="22" t="str">
        <x:v>second USB FS net</x:v>
      </x:c>
    </x:row>
    <x:row r="105">
      <x:c r="A105" s="18" t="str">
        <x:v>104</x:v>
      </x:c>
      <x:c r="B105" s="18" t="str">
        <x:v>PA12</x:v>
      </x:c>
      <x:c r="C105" s="13" t="str">
        <x:v>HOSTDP2</x:v>
      </x:c>
      <x:c r="D105" s="13" t="str">
        <x:v>usb-host</x:v>
      </x:c>
      <x:c r="E105" s="18" t="str">
        <x:v>gpio</x:v>
      </x:c>
      <x:c r="F105" s="18" t="str">
        <x:v>schematic</x:v>
      </x:c>
      <x:c r="G105" s="22" t="str">
        <x:v>second USB FS net</x:v>
      </x:c>
    </x:row>
    <x:row r="106">
      <x:c r="A106" s="18" t="str">
        <x:v>105</x:v>
      </x:c>
      <x:c r="B106" s="18" t="str">
        <x:v>PA13</x:v>
      </x:c>
      <x:c r="C106" s="13" t="str">
        <x:v>SWDIO</x:v>
      </x:c>
      <x:c r="D106" s="13" t="str">
        <x:v>debug</x:v>
      </x:c>
      <x:c r="E106" s="18" t="str">
        <x:v>gpio</x:v>
      </x:c>
      <x:c r="F106" s="18" t="str">
        <x:v>schematic</x:v>
      </x:c>
      <x:c r="G106" s="22" t="str">
        <x:v>SWD</x:v>
      </x:c>
    </x:row>
    <x:row r="107">
      <x:c r="A107" s="18" t="str">
        <x:v>106</x:v>
      </x:c>
      <x:c r="B107" s="18" t="str">
        <x:v>VCAP_2</x:v>
      </x:c>
      <x:c r="C107" s="13" t="str">
        <x:v>VCAP_2</x:v>
      </x:c>
      <x:c r="D107" s="13" t="str">
        <x:v>power</x:v>
      </x:c>
      <x:c r="E107" s="18" t="str">
        <x:v>internal-cap</x:v>
      </x:c>
      <x:c r="F107" s="18" t="str">
        <x:v>schematic</x:v>
      </x:c>
      <x:c r="G107" s="22" t="str"/>
    </x:row>
    <x:row r="108">
      <x:c r="A108" s="18" t="str">
        <x:v>107</x:v>
      </x:c>
      <x:c r="B108" s="18" t="str">
        <x:v>VSS</x:v>
      </x:c>
      <x:c r="C108" s="13" t="str">
        <x:v>GND</x:v>
      </x:c>
      <x:c r="D108" s="13" t="str">
        <x:v>power</x:v>
      </x:c>
      <x:c r="E108" s="18" t="str">
        <x:v>ground</x:v>
      </x:c>
      <x:c r="F108" s="18" t="str">
        <x:v>schematic</x:v>
      </x:c>
      <x:c r="G108" s="22" t="str"/>
    </x:row>
    <x:row r="109">
      <x:c r="A109" s="18" t="str">
        <x:v>108</x:v>
      </x:c>
      <x:c r="B109" s="18" t="str">
        <x:v>VDD</x:v>
      </x:c>
      <x:c r="C109" s="13" t="str">
        <x:v>V33</x:v>
      </x:c>
      <x:c r="D109" s="13" t="str">
        <x:v>power</x:v>
      </x:c>
      <x:c r="E109" s="18" t="str">
        <x:v>supply</x:v>
      </x:c>
      <x:c r="F109" s="18" t="str">
        <x:v>schematic</x:v>
      </x:c>
      <x:c r="G109" s="22" t="str"/>
    </x:row>
    <x:row r="110">
      <x:c r="A110" s="18" t="str">
        <x:v>109</x:v>
      </x:c>
      <x:c r="B110" s="18" t="str">
        <x:v>PA14</x:v>
      </x:c>
      <x:c r="C110" s="13" t="str">
        <x:v>SWCLK</x:v>
      </x:c>
      <x:c r="D110" s="13" t="str">
        <x:v>debug</x:v>
      </x:c>
      <x:c r="E110" s="18" t="str">
        <x:v>gpio</x:v>
      </x:c>
      <x:c r="F110" s="18" t="str">
        <x:v>schematic</x:v>
      </x:c>
      <x:c r="G110" s="22" t="str">
        <x:v>SWD</x:v>
      </x:c>
    </x:row>
    <x:row r="111">
      <x:c r="A111" s="18" t="str">
        <x:v>110</x:v>
      </x:c>
      <x:c r="B111" s="18" t="str">
        <x:v>PA15</x:v>
      </x:c>
      <x:c r="C111" s="13" t="str">
        <x:v>SPI0_CS</x:v>
      </x:c>
      <x:c r="D111" s="13" t="str">
        <x:v>external-flash</x:v>
      </x:c>
      <x:c r="E111" s="18" t="str">
        <x:v>gpio</x:v>
      </x:c>
      <x:c r="F111" s="18" t="str">
        <x:v>schematic</x:v>
      </x:c>
      <x:c r="G111" s="22" t="str">
        <x:v>W25Q64 chip select</x:v>
      </x:c>
    </x:row>
    <x:row r="112">
      <x:c r="A112" s="18" t="str">
        <x:v>111</x:v>
      </x:c>
      <x:c r="B112" s="18" t="str">
        <x:v>PC10</x:v>
      </x:c>
      <x:c r="C112" s="13" t="str">
        <x:v>VS_SCK</x:v>
      </x:c>
      <x:c r="D112" s="13" t="str">
        <x:v>audio-and-flash</x:v>
      </x:c>
      <x:c r="E112" s="18" t="str">
        <x:v>gpio</x:v>
      </x:c>
      <x:c r="F112" s="18" t="str">
        <x:v>schematic</x:v>
      </x:c>
      <x:c r="G112" s="22" t="str">
        <x:v>SPI3 clock shared by VS1053 and W25Q64</x:v>
      </x:c>
    </x:row>
    <x:row r="113">
      <x:c r="A113" s="18" t="str">
        <x:v>112</x:v>
      </x:c>
      <x:c r="B113" s="18" t="str">
        <x:v>PC11</x:v>
      </x:c>
      <x:c r="C113" s="13" t="str">
        <x:v>VS_MISO</x:v>
      </x:c>
      <x:c r="D113" s="13" t="str">
        <x:v>audio-and-flash</x:v>
      </x:c>
      <x:c r="E113" s="18" t="str">
        <x:v>gpio</x:v>
      </x:c>
      <x:c r="F113" s="18" t="str">
        <x:v>schematic</x:v>
      </x:c>
      <x:c r="G113" s="22" t="str">
        <x:v>SPI3 MISO shared by VS1053 and W25Q64</x:v>
      </x:c>
    </x:row>
    <x:row r="114">
      <x:c r="A114" s="18" t="str">
        <x:v>113</x:v>
      </x:c>
      <x:c r="B114" s="18" t="str">
        <x:v>PC12</x:v>
      </x:c>
      <x:c r="C114" s="13" t="str">
        <x:v>VS_MOSI</x:v>
      </x:c>
      <x:c r="D114" s="13" t="str">
        <x:v>audio-and-flash</x:v>
      </x:c>
      <x:c r="E114" s="18" t="str">
        <x:v>gpio</x:v>
      </x:c>
      <x:c r="F114" s="18" t="str">
        <x:v>schematic</x:v>
      </x:c>
      <x:c r="G114" s="22" t="str">
        <x:v>SPI3 MOSI shared by VS1053 and W25Q64</x:v>
      </x:c>
    </x:row>
    <x:row r="115">
      <x:c r="A115" s="18" t="str">
        <x:v>114</x:v>
      </x:c>
      <x:c r="B115" s="18" t="str">
        <x:v>PD0</x:v>
      </x:c>
      <x:c r="C115" s="13" t="str">
        <x:v>MBIN0</x:v>
      </x:c>
      <x:c r="D115" s="13" t="str">
        <x:v>motor-output-b</x:v>
      </x:c>
      <x:c r="E115" s="18" t="str">
        <x:v>gpio</x:v>
      </x:c>
      <x:c r="F115" s="18" t="str">
        <x:v>schematic</x:v>
      </x:c>
      <x:c r="G115" s="22" t="str"/>
    </x:row>
    <x:row r="116">
      <x:c r="A116" s="18" t="str">
        <x:v>115</x:v>
      </x:c>
      <x:c r="B116" s="18" t="str">
        <x:v>PD1</x:v>
      </x:c>
      <x:c r="C116" s="13" t="str">
        <x:v>MBIN1</x:v>
      </x:c>
      <x:c r="D116" s="13" t="str">
        <x:v>motor-output-b</x:v>
      </x:c>
      <x:c r="E116" s="18" t="str">
        <x:v>gpio</x:v>
      </x:c>
      <x:c r="F116" s="18" t="str">
        <x:v>schematic</x:v>
      </x:c>
      <x:c r="G116" s="22" t="str"/>
    </x:row>
    <x:row r="117">
      <x:c r="A117" s="18" t="str">
        <x:v>116</x:v>
      </x:c>
      <x:c r="B117" s="18" t="str">
        <x:v>PD2</x:v>
      </x:c>
      <x:c r="C117" s="13" t="str">
        <x:v>LED1</x:v>
      </x:c>
      <x:c r="D117" s="13" t="str">
        <x:v>status-led</x:v>
      </x:c>
      <x:c r="E117" s="18" t="str">
        <x:v>gpio</x:v>
      </x:c>
      <x:c r="F117" s="18" t="str">
        <x:v>schematic</x:v>
      </x:c>
      <x:c r="G117" s="22" t="str"/>
    </x:row>
    <x:row r="118">
      <x:c r="A118" s="18" t="str">
        <x:v>117</x:v>
      </x:c>
      <x:c r="B118" s="18" t="str">
        <x:v>PD3</x:v>
      </x:c>
      <x:c r="C118" s="13" t="str">
        <x:v>LED2</x:v>
      </x:c>
      <x:c r="D118" s="13" t="str">
        <x:v>status-led</x:v>
      </x:c>
      <x:c r="E118" s="18" t="str">
        <x:v>gpio</x:v>
      </x:c>
      <x:c r="F118" s="18" t="str">
        <x:v>schematic</x:v>
      </x:c>
      <x:c r="G118" s="22" t="str"/>
    </x:row>
    <x:row r="119">
      <x:c r="A119" s="18" t="str">
        <x:v>118</x:v>
      </x:c>
      <x:c r="B119" s="18" t="str">
        <x:v>PD4</x:v>
      </x:c>
      <x:c r="C119" s="13" t="str">
        <x:v>RXINB_EN</x:v>
      </x:c>
      <x:c r="D119" s="13" t="str">
        <x:v>input-port-b</x:v>
      </x:c>
      <x:c r="E119" s="18" t="str">
        <x:v>gpio</x:v>
      </x:c>
      <x:c r="F119" s="18" t="str">
        <x:v>schematic</x:v>
      </x:c>
      <x:c r="G119" s="22" t="str"/>
    </x:row>
    <x:row r="120">
      <x:c r="A120" s="18" t="str">
        <x:v>119</x:v>
      </x:c>
      <x:c r="B120" s="18" t="str">
        <x:v>PD5</x:v>
      </x:c>
      <x:c r="C120" s="13" t="str">
        <x:v>TXINB</x:v>
      </x:c>
      <x:c r="D120" s="13" t="str">
        <x:v>input-port-b</x:v>
      </x:c>
      <x:c r="E120" s="18" t="str">
        <x:v>gpio</x:v>
      </x:c>
      <x:c r="F120" s="18" t="str">
        <x:v>schematic</x:v>
      </x:c>
      <x:c r="G120" s="22" t="str"/>
    </x:row>
    <x:row r="121">
      <x:c r="A121" s="18" t="str">
        <x:v>120</x:v>
      </x:c>
      <x:c r="B121" s="18" t="str">
        <x:v>VSS</x:v>
      </x:c>
      <x:c r="C121" s="13" t="str">
        <x:v>GND</x:v>
      </x:c>
      <x:c r="D121" s="13" t="str">
        <x:v>power</x:v>
      </x:c>
      <x:c r="E121" s="18" t="str">
        <x:v>ground</x:v>
      </x:c>
      <x:c r="F121" s="18" t="str">
        <x:v>schematic</x:v>
      </x:c>
      <x:c r="G121" s="22" t="str"/>
    </x:row>
    <x:row r="122">
      <x:c r="A122" s="18" t="str">
        <x:v>121</x:v>
      </x:c>
      <x:c r="B122" s="18" t="str">
        <x:v>VDD</x:v>
      </x:c>
      <x:c r="C122" s="13" t="str">
        <x:v>V33</x:v>
      </x:c>
      <x:c r="D122" s="13" t="str">
        <x:v>power</x:v>
      </x:c>
      <x:c r="E122" s="18" t="str">
        <x:v>supply</x:v>
      </x:c>
      <x:c r="F122" s="18" t="str">
        <x:v>schematic</x:v>
      </x:c>
      <x:c r="G122" s="22" t="str"/>
    </x:row>
    <x:row r="123">
      <x:c r="A123" s="18" t="str">
        <x:v>122</x:v>
      </x:c>
      <x:c r="B123" s="18" t="str">
        <x:v>PD6</x:v>
      </x:c>
      <x:c r="C123" s="13" t="str">
        <x:v>RXINB</x:v>
      </x:c>
      <x:c r="D123" s="13" t="str">
        <x:v>input-port-b</x:v>
      </x:c>
      <x:c r="E123" s="18" t="str">
        <x:v>gpio</x:v>
      </x:c>
      <x:c r="F123" s="18" t="str">
        <x:v>schematic</x:v>
      </x:c>
      <x:c r="G123" s="22" t="str"/>
    </x:row>
    <x:row r="124">
      <x:c r="A124" s="18" t="str">
        <x:v>123</x:v>
      </x:c>
      <x:c r="B124" s="18" t="str">
        <x:v>PD7</x:v>
      </x:c>
      <x:c r="C124" s="13" t="str">
        <x:v>USB_DET</x:v>
      </x:c>
      <x:c r="D124" s="13" t="str">
        <x:v>usb-device</x:v>
      </x:c>
      <x:c r="E124" s="18" t="str">
        <x:v>gpio</x:v>
      </x:c>
      <x:c r="F124" s="18" t="str">
        <x:v>schematic</x:v>
      </x:c>
      <x:c r="G124" s="22" t="str">
        <x:v>USB insertion or power detect</x:v>
      </x:c>
    </x:row>
    <x:row r="125">
      <x:c r="A125" s="18" t="str">
        <x:v>124</x:v>
      </x:c>
      <x:c r="B125" s="18" t="str">
        <x:v>PG9</x:v>
      </x:c>
      <x:c r="C125" s="13" t="str">
        <x:v>BLE_RX</x:v>
      </x:c>
      <x:c r="D125" s="13" t="str">
        <x:v>bluetooth</x:v>
      </x:c>
      <x:c r="E125" s="18" t="str">
        <x:v>gpio</x:v>
      </x:c>
      <x:c r="F125" s="18" t="str">
        <x:v>schematic</x:v>
      </x:c>
      <x:c r="G125" s="22" t="str">
        <x:v>USART6 RX-side net</x:v>
      </x:c>
    </x:row>
    <x:row r="126">
      <x:c r="A126" s="18" t="str">
        <x:v>125</x:v>
      </x:c>
      <x:c r="B126" s="18" t="str">
        <x:v>PG10</x:v>
      </x:c>
      <x:c r="C126" s="13" t="str">
        <x:v>MAIN0</x:v>
      </x:c>
      <x:c r="D126" s="13" t="str">
        <x:v>motor-output-a</x:v>
      </x:c>
      <x:c r="E126" s="18" t="str">
        <x:v>gpio</x:v>
      </x:c>
      <x:c r="F126" s="18" t="str">
        <x:v>schematic</x:v>
      </x:c>
      <x:c r="G126" s="22" t="str"/>
    </x:row>
    <x:row r="127">
      <x:c r="A127" s="18" t="str">
        <x:v>126</x:v>
      </x:c>
      <x:c r="B127" s="18" t="str">
        <x:v>PG11</x:v>
      </x:c>
      <x:c r="C127" s="13" t="str">
        <x:v>MAIN1</x:v>
      </x:c>
      <x:c r="D127" s="13" t="str">
        <x:v>motor-output-a</x:v>
      </x:c>
      <x:c r="E127" s="18" t="str">
        <x:v>gpio</x:v>
      </x:c>
      <x:c r="F127" s="18" t="str">
        <x:v>schematic</x:v>
      </x:c>
      <x:c r="G127" s="22" t="str"/>
    </x:row>
    <x:row r="128">
      <x:c r="A128" s="18" t="str">
        <x:v>127</x:v>
      </x:c>
      <x:c r="B128" s="18" t="str">
        <x:v>PG12</x:v>
      </x:c>
      <x:c r="C128" s="13" t="str">
        <x:v>MCIN0</x:v>
      </x:c>
      <x:c r="D128" s="13" t="str">
        <x:v>motor-output-c</x:v>
      </x:c>
      <x:c r="E128" s="18" t="str">
        <x:v>gpio</x:v>
      </x:c>
      <x:c r="F128" s="18" t="str">
        <x:v>schematic</x:v>
      </x:c>
      <x:c r="G128" s="22" t="str"/>
    </x:row>
    <x:row r="129">
      <x:c r="A129" s="18" t="str">
        <x:v>128</x:v>
      </x:c>
      <x:c r="B129" s="18" t="str">
        <x:v>PG13</x:v>
      </x:c>
      <x:c r="C129" s="13" t="str">
        <x:v>MCIN1</x:v>
      </x:c>
      <x:c r="D129" s="13" t="str">
        <x:v>motor-output-c</x:v>
      </x:c>
      <x:c r="E129" s="18" t="str">
        <x:v>gpio</x:v>
      </x:c>
      <x:c r="F129" s="18" t="str">
        <x:v>schematic</x:v>
      </x:c>
      <x:c r="G129" s="22" t="str"/>
    </x:row>
    <x:row r="130">
      <x:c r="A130" s="18" t="str">
        <x:v>129</x:v>
      </x:c>
      <x:c r="B130" s="18" t="str">
        <x:v>PG14</x:v>
      </x:c>
      <x:c r="C130" s="13" t="str">
        <x:v>BLE_TX</x:v>
      </x:c>
      <x:c r="D130" s="13" t="str">
        <x:v>bluetooth</x:v>
      </x:c>
      <x:c r="E130" s="18" t="str">
        <x:v>gpio</x:v>
      </x:c>
      <x:c r="F130" s="18" t="str">
        <x:v>schematic</x:v>
      </x:c>
      <x:c r="G130" s="22" t="str">
        <x:v>USART6 TX-side net</x:v>
      </x:c>
    </x:row>
    <x:row r="131">
      <x:c r="A131" s="18" t="str">
        <x:v>130</x:v>
      </x:c>
      <x:c r="B131" s="18" t="str">
        <x:v>VSS</x:v>
      </x:c>
      <x:c r="C131" s="13" t="str">
        <x:v>GND</x:v>
      </x:c>
      <x:c r="D131" s="13" t="str">
        <x:v>power</x:v>
      </x:c>
      <x:c r="E131" s="18" t="str">
        <x:v>ground</x:v>
      </x:c>
      <x:c r="F131" s="18" t="str">
        <x:v>schematic</x:v>
      </x:c>
      <x:c r="G131" s="22" t="str"/>
    </x:row>
    <x:row r="132">
      <x:c r="A132" s="18" t="str">
        <x:v>131</x:v>
      </x:c>
      <x:c r="B132" s="18" t="str">
        <x:v>VDD</x:v>
      </x:c>
      <x:c r="C132" s="13" t="str">
        <x:v>V33</x:v>
      </x:c>
      <x:c r="D132" s="13" t="str">
        <x:v>power</x:v>
      </x:c>
      <x:c r="E132" s="18" t="str">
        <x:v>supply</x:v>
      </x:c>
      <x:c r="F132" s="18" t="str">
        <x:v>schematic</x:v>
      </x:c>
      <x:c r="G132" s="22" t="str"/>
    </x:row>
    <x:row r="133">
      <x:c r="A133" s="18" t="str">
        <x:v>132</x:v>
      </x:c>
      <x:c r="B133" s="18" t="str">
        <x:v>PG15</x:v>
      </x:c>
      <x:c r="C133" s="13" t="str">
        <x:v>RXINA_EN</x:v>
      </x:c>
      <x:c r="D133" s="13" t="str">
        <x:v>input-port-a</x:v>
      </x:c>
      <x:c r="E133" s="18" t="str">
        <x:v>gpio</x:v>
      </x:c>
      <x:c r="F133" s="18" t="str">
        <x:v>schematic</x:v>
      </x:c>
      <x:c r="G133" s="22" t="str"/>
    </x:row>
    <x:row r="134">
      <x:c r="A134" s="18" t="str">
        <x:v>133</x:v>
      </x:c>
      <x:c r="B134" s="18" t="str">
        <x:v>PB3</x:v>
      </x:c>
      <x:c r="C134" s="13" t="str">
        <x:v>DIGIA0</x:v>
      </x:c>
      <x:c r="D134" s="13" t="str">
        <x:v>input-port-a</x:v>
      </x:c>
      <x:c r="E134" s="18" t="str">
        <x:v>gpio</x:v>
      </x:c>
      <x:c r="F134" s="18" t="str">
        <x:v>schematic</x:v>
      </x:c>
      <x:c r="G134" s="22" t="str"/>
    </x:row>
    <x:row r="135">
      <x:c r="A135" s="18" t="str">
        <x:v>134</x:v>
      </x:c>
      <x:c r="B135" s="18" t="str">
        <x:v>PB4</x:v>
      </x:c>
      <x:c r="C135" s="13" t="str">
        <x:v>LEGDETA</x:v>
      </x:c>
      <x:c r="D135" s="13" t="str">
        <x:v>input-port-a</x:v>
      </x:c>
      <x:c r="E135" s="18" t="str">
        <x:v>gpio</x:v>
      </x:c>
      <x:c r="F135" s="18" t="str">
        <x:v>schematic</x:v>
      </x:c>
      <x:c r="G135" s="22" t="str"/>
    </x:row>
    <x:row r="136">
      <x:c r="A136" s="18" t="str">
        <x:v>135</x:v>
      </x:c>
      <x:c r="B136" s="18" t="str">
        <x:v>PB5</x:v>
      </x:c>
      <x:c r="C136" s="13" t="str">
        <x:v>ULPI_D7</x:v>
      </x:c>
      <x:c r="D136" s="13" t="str">
        <x:v>usb-hs-ulpi</x:v>
      </x:c>
      <x:c r="E136" s="18" t="str">
        <x:v>gpio</x:v>
      </x:c>
      <x:c r="F136" s="18" t="str">
        <x:v>hardware-tested</x:v>
      </x:c>
      <x:c r="G136" s="22" t="str">
        <x:v>USB3300</x:v>
      </x:c>
    </x:row>
    <x:row r="137">
      <x:c r="A137" s="18" t="str">
        <x:v>136</x:v>
      </x:c>
      <x:c r="B137" s="18" t="str">
        <x:v>PB6</x:v>
      </x:c>
      <x:c r="C137" s="13" t="str">
        <x:v>TXINC</x:v>
      </x:c>
      <x:c r="D137" s="13" t="str">
        <x:v>input-port-c</x:v>
      </x:c>
      <x:c r="E137" s="18" t="str">
        <x:v>gpio</x:v>
      </x:c>
      <x:c r="F137" s="18" t="str">
        <x:v>schematic</x:v>
      </x:c>
      <x:c r="G137" s="22" t="str"/>
    </x:row>
    <x:row r="138">
      <x:c r="A138" s="18" t="str">
        <x:v>137</x:v>
      </x:c>
      <x:c r="B138" s="18" t="str">
        <x:v>PB7</x:v>
      </x:c>
      <x:c r="C138" s="13" t="str">
        <x:v>RXINC</x:v>
      </x:c>
      <x:c r="D138" s="13" t="str">
        <x:v>input-port-c</x:v>
      </x:c>
      <x:c r="E138" s="18" t="str">
        <x:v>gpio</x:v>
      </x:c>
      <x:c r="F138" s="18" t="str">
        <x:v>schematic</x:v>
      </x:c>
      <x:c r="G138" s="22" t="str"/>
    </x:row>
    <x:row r="139">
      <x:c r="A139" s="18" t="str">
        <x:v>138</x:v>
      </x:c>
      <x:c r="B139" s="18" t="str">
        <x:v>BOOT0</x:v>
      </x:c>
      <x:c r="C139" s="13" t="str">
        <x:v>GND</x:v>
      </x:c>
      <x:c r="D139" s="13" t="str">
        <x:v>boot</x:v>
      </x:c>
      <x:c r="E139" s="18" t="str">
        <x:v>boot</x:v>
      </x:c>
      <x:c r="F139" s="18" t="str">
        <x:v>schematic</x:v>
      </x:c>
      <x:c r="G139" s="22" t="str">
        <x:v>boot strap low</x:v>
      </x:c>
    </x:row>
    <x:row r="140">
      <x:c r="A140" s="18" t="str">
        <x:v>139</x:v>
      </x:c>
      <x:c r="B140" s="18" t="str">
        <x:v>PB8</x:v>
      </x:c>
      <x:c r="C140" s="13" t="str">
        <x:v>MBPWM</x:v>
      </x:c>
      <x:c r="D140" s="13" t="str">
        <x:v>motor-output-b</x:v>
      </x:c>
      <x:c r="E140" s="18" t="str">
        <x:v>gpio</x:v>
      </x:c>
      <x:c r="F140" s="18" t="str">
        <x:v>schematic</x:v>
      </x:c>
      <x:c r="G140" s="22" t="str">
        <x:v>TIM4_CH3</x:v>
      </x:c>
    </x:row>
    <x:row r="141">
      <x:c r="A141" s="18" t="str">
        <x:v>140</x:v>
      </x:c>
      <x:c r="B141" s="18" t="str">
        <x:v>PB9</x:v>
      </x:c>
      <x:c r="C141" s="13" t="str">
        <x:v>MAPWM</x:v>
      </x:c>
      <x:c r="D141" s="13" t="str">
        <x:v>motor-output-a</x:v>
      </x:c>
      <x:c r="E141" s="18" t="str">
        <x:v>gpio</x:v>
      </x:c>
      <x:c r="F141" s="18" t="str">
        <x:v>schematic</x:v>
      </x:c>
      <x:c r="G141" s="22" t="str">
        <x:v>TIM4_CH4</x:v>
      </x:c>
    </x:row>
    <x:row r="142">
      <x:c r="A142" s="18" t="str">
        <x:v>141</x:v>
      </x:c>
      <x:c r="B142" s="18" t="str">
        <x:v>PE0</x:v>
      </x:c>
      <x:c r="C142" s="13" t="str">
        <x:v>NC</x:v>
      </x:c>
      <x:c r="D142" s="13" t="str">
        <x:v>system</x:v>
      </x:c>
      <x:c r="E142" s="18" t="str">
        <x:v>gpio</x:v>
      </x:c>
      <x:c r="F142" s="18" t="str">
        <x:v>schematic</x:v>
      </x:c>
      <x:c r="G142" s="22" t="str">
        <x:v>no net shown</x:v>
      </x:c>
    </x:row>
    <x:row r="143">
      <x:c r="A143" s="18" t="str">
        <x:v>142</x:v>
      </x:c>
      <x:c r="B143" s="18" t="str">
        <x:v>PE1</x:v>
      </x:c>
      <x:c r="C143" s="13" t="str">
        <x:v>PB_DET</x:v>
      </x:c>
      <x:c r="D143" s="13" t="str">
        <x:v>power-control</x:v>
      </x:c>
      <x:c r="E143" s="18" t="str">
        <x:v>gpio</x:v>
      </x:c>
      <x:c r="F143" s="18" t="str">
        <x:v>schematic</x:v>
      </x:c>
      <x:c r="G143" s="22" t="str">
        <x:v>power key detect</x:v>
      </x:c>
    </x:row>
    <x:row r="144">
      <x:c r="A144" s="18" t="str">
        <x:v>143</x:v>
      </x:c>
      <x:c r="B144" s="18" t="str">
        <x:v>PDR_ON</x:v>
      </x:c>
      <x:c r="C144" s="13" t="str">
        <x:v>PDR_ON_BIAS</x:v>
      </x:c>
      <x:c r="D144" s="13" t="str">
        <x:v>system</x:v>
      </x:c>
      <x:c r="E144" s="18" t="str">
        <x:v>configuration</x:v>
      </x:c>
      <x:c r="F144" s="18" t="str">
        <x:v>schematic</x:v>
      </x:c>
      <x:c r="G144" s="22" t="str">
        <x:v>resistor bias network</x:v>
      </x:c>
    </x:row>
    <x:row r="145">
      <x:c r="A145" s="19" t="str">
        <x:v>144</x:v>
      </x:c>
      <x:c r="B145" s="19" t="str">
        <x:v>VDD</x:v>
      </x:c>
      <x:c r="C145" s="14" t="str">
        <x:v>V33</x:v>
      </x:c>
      <x:c r="D145" s="14" t="str">
        <x:v>power</x:v>
      </x:c>
      <x:c r="E145" s="19" t="str">
        <x:v>supply</x:v>
      </x:c>
      <x:c r="F145" s="19" t="str">
        <x:v>schematic</x:v>
      </x:c>
      <x:c r="G145" s="23" t="str"/>
    </x:row>
  </x:sheetData>
  <x:conditionalFormatting sqref="F2:F145">
    <x:cfRule type="containsText" dxfId="0" priority="1" operator="containsText" text="hardware-tested"/>
    <x:cfRule type="containsText" dxfId="1" priority="2" operator="containsText" text="schematic"/>
  </x:conditionalFormatting>
  <x:pageMargins left="0.7" right="0.7" top="0.75" bottom="0.75" header="0.3" footer="0.3"/>
  <x:tableParts count="1">
    <x:tablePart xmlns:r="http://schemas.openxmlformats.org/officeDocument/2006/relationships" r:id="R5a1056cf4d6348c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16" hidden="0" customWidth="1"/>
    <x:col min="4" max="4" width="25" hidden="0" customWidth="1"/>
    <x:col min="5" max="5" width="18" hidden="0" customWidth="1"/>
    <x:col min="6" max="6" width="25" hidden="0" customWidth="1"/>
  </x:cols>
  <x:sheetData>
    <x:row r="1" ht="36" customHeight="1">
      <x:c r="A1" s="32" t="str">
        <x:v>EST 当前实物引脚表 - V5.0</x:v>
      </x:c>
      <x:c r="B1" s="32"/>
      <x:c r="C1" s="32"/>
      <x:c r="D1" s="32"/>
      <x:c r="E1" s="32"/>
      <x:c r="F1" s="32"/>
    </x:row>
    <x:row r="3">
      <x:c r="A3" s="36" t="str">
        <x:v>依据：PCB_MainControlV5.0.sch、PCB_MainControlV30.pdf、官方程序及 M0.25A 实机结果</x:v>
      </x:c>
      <x:c r="B3" s="36"/>
      <x:c r="C3" s="36"/>
      <x:c r="D3" s="36"/>
      <x:c r="E3" s="36"/>
      <x:c r="F3" s="36"/>
    </x:row>
    <x:row r="5">
      <x:c r="A5" s="42" t="str">
        <x:v>封装脚总数</x:v>
      </x:c>
      <x:c r="B5" s="42"/>
      <x:c r="C5" s="42" t="str">
        <x:v>已实机验证信号</x:v>
      </x:c>
      <x:c r="D5" s="42"/>
      <x:c r="E5" s="42" t="str">
        <x:v>GPIO 脚数量</x:v>
      </x:c>
      <x:c r="F5" s="42"/>
    </x:row>
    <x:row r="6">
      <x:c r="A6" s="64" t="n">
        <x:f>COUNTA('当前引脚表'!A2:A145)</x:f>
        <x:v>144</x:v>
      </x:c>
      <x:c r="B6" s="65"/>
      <x:c r="C6" s="64" t="n">
        <x:f>COUNTIF('当前引脚表'!F2:F145,"hardware-tested")</x:f>
        <x:v>24</x:v>
      </x:c>
      <x:c r="D6" s="65"/>
      <x:c r="E6" s="64" t="n">
        <x:f>COUNTIF('当前引脚表'!E2:E145,"gpio")</x:f>
        <x:v>112</x:v>
      </x:c>
      <x:c r="F6" s="65"/>
    </x:row>
    <x:row r="7">
      <x:c r="A7" s="66"/>
      <x:c r="B7" s="67"/>
      <x:c r="C7" s="66"/>
      <x:c r="D7" s="67"/>
      <x:c r="E7" s="66"/>
      <x:c r="F7" s="67"/>
    </x:row>
    <x:row r="9">
      <x:c r="A9" s="74" t="str">
        <x:v>最重要的防错结论</x:v>
      </x:c>
      <x:c r="B9" s="74"/>
      <x:c r="C9" s="74"/>
      <x:c r="D9" s="74"/>
      <x:c r="E9" s="74"/>
      <x:c r="F9" s="74"/>
    </x:row>
    <x:row r="10" ht="28" customHeight="1">
      <x:c r="A10" s="80" t="str">
        <x:v>屏幕时钟</x:v>
      </x:c>
      <x:c r="B10" s="80" t="str">
        <x:v>PD14</x:v>
      </x:c>
      <x:c r="C10" s="80" t="str">
        <x:v>屏幕写数据</x:v>
      </x:c>
      <x:c r="D10" s="80" t="str">
        <x:v>PG2</x:v>
      </x:c>
      <x:c r="E10" s="80" t="str">
        <x:v>屏幕复位</x:v>
      </x:c>
      <x:c r="F10" s="80" t="str">
        <x:v>PD15</x:v>
      </x:c>
    </x:row>
    <x:row r="11" ht="28" customHeight="1">
      <x:c r="A11" s="80" t="str">
        <x:v>屏幕读数据</x:v>
      </x:c>
      <x:c r="B11" s="80" t="str">
        <x:v>PG3</x:v>
      </x:c>
      <x:c r="C11" s="80" t="str">
        <x:v>屏幕背光</x:v>
      </x:c>
      <x:c r="D11" s="80" t="str">
        <x:v>PA8</x:v>
      </x:c>
      <x:c r="E11" s="80" t="str">
        <x:v>USB ULPI_D6</x:v>
      </x:c>
      <x:c r="F11" s="80" t="str">
        <x:v>PB13</x:v>
      </x:c>
    </x:row>
    <x:row r="12" ht="28" customHeight="1">
      <x:c r="A12" s="80" t="str">
        <x:v>禁止事项</x:v>
      </x:c>
      <x:c r="B12" s="80" t="str">
        <x:v>PB13 不能作为 LCD_SCK</x:v>
      </x:c>
      <x:c r="C12" s="80" t="str">
        <x:v>原因</x:v>
      </x:c>
      <x:c r="D12" s="80" t="str">
        <x:v>会破坏高速 USB</x:v>
      </x:c>
      <x:c r="E12" s="80" t="str">
        <x:v>错误版本</x:v>
      </x:c>
      <x:c r="F12" s="80" t="str">
        <x:v>M0.24A</x:v>
      </x:c>
    </x:row>
    <x:row r="13" ht="28" customHeight="1">
      <x:c r="A13" s="80" t="str">
        <x:v>当前版本</x:v>
      </x:c>
      <x:c r="B13" s="80" t="str">
        <x:v>M0.25A</x:v>
      </x:c>
      <x:c r="C13" s="80" t="str">
        <x:v>状态</x:v>
      </x:c>
      <x:c r="D13" s="80" t="str">
        <x:v>屏幕、USB、按键已通过</x:v>
      </x:c>
      <x:c r="E13" s="80" t="str">
        <x:v>旧 CSV</x:v>
      </x:c>
      <x:c r="F13" s="80" t="str">
        <x:v>仅作历史追溯</x:v>
      </x:c>
    </x:row>
  </x:sheetData>
  <x:mergeCells>
    <x:mergeCell ref="A1:F1"/>
    <x:mergeCell ref="A3:F3"/>
    <x:mergeCell ref="A5:B5"/>
    <x:mergeCell ref="C5:D5"/>
    <x:mergeCell ref="E5:F5"/>
    <x:mergeCell ref="A6:B7"/>
    <x:mergeCell ref="C6:D7"/>
    <x:mergeCell ref="E6:F7"/>
    <x:mergeCell ref="A9:F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32" hidden="0" customWidth="1"/>
  </x:cols>
  <x:sheetData>
    <x:row r="1">
      <x:c r="A1" s="10" t="str">
        <x:v>信号</x:v>
      </x:c>
      <x:c r="B1" s="10" t="str">
        <x:v>旧资料引脚</x:v>
      </x:c>
      <x:c r="C1" s="10" t="str">
        <x:v>V5.0 当前引脚</x:v>
      </x:c>
      <x:c r="D1" s="10" t="str">
        <x:v>所属模块</x:v>
      </x:c>
      <x:c r="E1" s="10" t="str">
        <x:v>验证状态</x:v>
      </x:c>
      <x:c r="F1" s="10" t="str">
        <x:v>说明</x:v>
      </x:c>
    </x:row>
    <x:row r="2" ht="24" customHeight="1">
      <x:c r="A2" s="82" t="str">
        <x:v>LCD_SCK</x:v>
      </x:c>
      <x:c r="B2" s="82" t="str">
        <x:v>PB13</x:v>
      </x:c>
      <x:c r="C2" s="82" t="str">
        <x:v>PD14</x:v>
      </x:c>
      <x:c r="D2" s="82" t="str">
        <x:v>LCD</x:v>
      </x:c>
      <x:c r="E2" s="82" t="str">
        <x:v>实机通过</x:v>
      </x:c>
      <x:c r="F2" s="82" t="str">
        <x:v>PB13 实际为 ULPI_D6</x:v>
      </x:c>
    </x:row>
    <x:row r="3" ht="24" customHeight="1">
      <x:c r="A3" s="13" t="str">
        <x:v>LCD_SDAI</x:v>
      </x:c>
      <x:c r="B3" s="13" t="str">
        <x:v>PD9</x:v>
      </x:c>
      <x:c r="C3" s="13" t="str">
        <x:v>PG2</x:v>
      </x:c>
      <x:c r="D3" s="13" t="str">
        <x:v>LCD</x:v>
      </x:c>
      <x:c r="E3" s="13" t="str">
        <x:v>实机通过</x:v>
      </x:c>
      <x:c r="F3" s="13" t="str">
        <x:v>M0.25A 已显示版本号</x:v>
      </x:c>
    </x:row>
    <x:row r="4" ht="24" customHeight="1">
      <x:c r="A4" s="13" t="str">
        <x:v>LCD_RST</x:v>
      </x:c>
      <x:c r="B4" s="13" t="str">
        <x:v>PD8</x:v>
      </x:c>
      <x:c r="C4" s="13" t="str">
        <x:v>PD15</x:v>
      </x:c>
      <x:c r="D4" s="13" t="str">
        <x:v>LCD</x:v>
      </x:c>
      <x:c r="E4" s="13" t="str">
        <x:v>实机通过</x:v>
      </x:c>
      <x:c r="F4" s="13" t="str">
        <x:v>M0.25A 已显示版本号</x:v>
      </x:c>
    </x:row>
    <x:row r="5" ht="24" customHeight="1">
      <x:c r="A5" s="13" t="str">
        <x:v>LCD_SDAO</x:v>
      </x:c>
      <x:c r="B5" s="13" t="str">
        <x:v>PD10</x:v>
      </x:c>
      <x:c r="C5" s="13" t="str">
        <x:v>PG3</x:v>
      </x:c>
      <x:c r="D5" s="13" t="str">
        <x:v>LCD</x:v>
      </x:c>
      <x:c r="E5" s="13" t="str">
        <x:v>图面确认</x:v>
      </x:c>
      <x:c r="F5" s="13" t="str">
        <x:v>当前写屏驱动未读取</x:v>
      </x:c>
    </x:row>
    <x:row r="6" ht="24" customHeight="1">
      <x:c r="A6" s="13" t="str">
        <x:v>LCD_LED</x:v>
      </x:c>
      <x:c r="B6" s="13" t="str">
        <x:v>PB12</x:v>
      </x:c>
      <x:c r="C6" s="13" t="str">
        <x:v>PA8</x:v>
      </x:c>
      <x:c r="D6" s="13" t="str">
        <x:v>LCD</x:v>
      </x:c>
      <x:c r="E6" s="13" t="str">
        <x:v>图面确认</x:v>
      </x:c>
      <x:c r="F6" s="13" t="str">
        <x:v>当前程序不主动控制</x:v>
      </x:c>
    </x:row>
    <x:row r="7" ht="24" customHeight="1">
      <x:c r="A7" s="13" t="str">
        <x:v>BLE_IO2</x:v>
      </x:c>
      <x:c r="B7" s="13" t="str">
        <x:v>PD14</x:v>
      </x:c>
      <x:c r="C7" s="13" t="str">
        <x:v>PD10</x:v>
      </x:c>
      <x:c r="D7" s="13" t="str">
        <x:v>蓝牙</x:v>
      </x:c>
      <x:c r="E7" s="13" t="str">
        <x:v>图面确认</x:v>
      </x:c>
      <x:c r="F7" s="13" t="str">
        <x:v>为 LCD_SCK 腾出 PD14</x:v>
      </x:c>
    </x:row>
    <x:row r="8" ht="24" customHeight="1">
      <x:c r="A8" s="13" t="str">
        <x:v>VS_CS</x:v>
      </x:c>
      <x:c r="B8" s="13" t="str">
        <x:v>PA4</x:v>
      </x:c>
      <x:c r="C8" s="13" t="str">
        <x:v>PG4</x:v>
      </x:c>
      <x:c r="D8" s="13" t="str">
        <x:v>音频</x:v>
      </x:c>
      <x:c r="E8" s="13" t="str">
        <x:v>图面确认</x:v>
      </x:c>
      <x:c r="F8" s="13" t="str">
        <x:v>VS1053 控制片选</x:v>
      </x:c>
    </x:row>
    <x:row r="9" ht="24" customHeight="1">
      <x:c r="A9" s="13" t="str">
        <x:v>VS_DREQ</x:v>
      </x:c>
      <x:c r="B9" s="13" t="str">
        <x:v>PA8</x:v>
      </x:c>
      <x:c r="C9" s="13" t="str">
        <x:v>PG5</x:v>
      </x:c>
      <x:c r="D9" s="13" t="str">
        <x:v>音频</x:v>
      </x:c>
      <x:c r="E9" s="13" t="str">
        <x:v>图面确认</x:v>
      </x:c>
      <x:c r="F9" s="13" t="str">
        <x:v>VS1053 数据请求</x:v>
      </x:c>
    </x:row>
    <x:row r="10" ht="24" customHeight="1">
      <x:c r="A10" s="13" t="str">
        <x:v>VS_RST</x:v>
      </x:c>
      <x:c r="B10" s="13" t="str">
        <x:v>PD15</x:v>
      </x:c>
      <x:c r="C10" s="13" t="str">
        <x:v>PG6</x:v>
      </x:c>
      <x:c r="D10" s="13" t="str">
        <x:v>音频</x:v>
      </x:c>
      <x:c r="E10" s="13" t="str">
        <x:v>图面确认</x:v>
      </x:c>
      <x:c r="F10" s="13" t="str">
        <x:v>VS1053 复位</x:v>
      </x:c>
    </x:row>
    <x:row r="11" ht="24" customHeight="1">
      <x:c r="A11" s="13" t="str">
        <x:v>VS_XDCS</x:v>
      </x:c>
      <x:c r="B11" s="13" t="str">
        <x:v>PG4</x:v>
      </x:c>
      <x:c r="C11" s="13" t="str">
        <x:v>PG7</x:v>
      </x:c>
      <x:c r="D11" s="13" t="str">
        <x:v>音频</x:v>
      </x:c>
      <x:c r="E11" s="13" t="str">
        <x:v>图面确认</x:v>
      </x:c>
      <x:c r="F11" s="13" t="str">
        <x:v>VS1053 数据片选</x:v>
      </x:c>
    </x:row>
    <x:row r="12" ht="24" customHeight="1">
      <x:c r="A12" s="13" t="str">
        <x:v>BELL</x:v>
      </x:c>
      <x:c r="B12" s="13" t="str">
        <x:v>PG2</x:v>
      </x:c>
      <x:c r="C12" s="13" t="str">
        <x:v>PG8</x:v>
      </x:c>
      <x:c r="D12" s="13" t="str">
        <x:v>蜂鸣器</x:v>
      </x:c>
      <x:c r="E12" s="13" t="str">
        <x:v>图面确认</x:v>
      </x:c>
      <x:c r="F12" s="13" t="str">
        <x:v>为 LCD_SDAI 腾出 PG2</x:v>
      </x:c>
    </x:row>
    <x:row r="13" ht="24" customHeight="1">
      <x:c r="A13" s="14" t="str">
        <x:v>ULPI_D6</x:v>
      </x:c>
      <x:c r="B13" s="14" t="str">
        <x:v>未正确标识</x:v>
      </x:c>
      <x:c r="C13" s="14" t="str">
        <x:v>PB13</x:v>
      </x:c>
      <x:c r="D13" s="14" t="str">
        <x:v>高速 USB</x:v>
      </x:c>
      <x:c r="E13" s="14" t="str">
        <x:v>实机通过</x:v>
      </x:c>
      <x:c r="F13" s="14" t="str">
        <x:v>不得与 LCD 共用</x:v>
      </x:c>
    </x:row>
  </x:sheetData>
  <x:pageMargins left="0.7" right="0.7" top="0.75" bottom="0.75" header="0.3" footer="0.3"/>
  <x:tableParts count="1">
    <x:tablePart xmlns:r="http://schemas.openxmlformats.org/officeDocument/2006/relationships" r:id="R985a65324d7c4dc6"/>
  </x:tableParts>
</x:worksheet>
</file>